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 COMPRAS UNAUNCUARTO\1.REQUISAS\1.OBRAS\1.VELMARI\REQ #328 C40 Y CPVC\"/>
    </mc:Choice>
  </mc:AlternateContent>
  <xr:revisionPtr revIDLastSave="0" documentId="13_ncr:1_{1C128024-0667-451F-8E90-4A808FAB5835}" xr6:coauthVersionLast="47" xr6:coauthVersionMax="47" xr10:uidLastSave="{00000000-0000-0000-0000-000000000000}"/>
  <bookViews>
    <workbookView xWindow="-120" yWindow="-120" windowWidth="29040" windowHeight="15720" xr2:uid="{27852CDD-36B1-4C74-A63B-94614D53F106}"/>
  </bookViews>
  <sheets>
    <sheet name="R-184-OC-PARTE 1" sheetId="2" r:id="rId1"/>
  </sheets>
  <definedNames>
    <definedName name="_xlnm.Print_Area" localSheetId="0">'R-184-OC-PARTE 1'!$B$2:$Q$46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2" l="1"/>
  <c r="Q22" i="2"/>
  <c r="Q20" i="2"/>
  <c r="Q21" i="2" l="1"/>
  <c r="Q44" i="2" l="1"/>
  <c r="Q37" i="2"/>
  <c r="K37" i="2"/>
  <c r="Q26" i="2" l="1"/>
  <c r="Q28" i="2" s="1"/>
  <c r="Q29" i="2" s="1"/>
  <c r="Q30" i="2" l="1"/>
  <c r="Q31" i="2" s="1"/>
  <c r="D32" i="2" s="1"/>
</calcChain>
</file>

<file path=xl/sharedStrings.xml><?xml version="1.0" encoding="utf-8"?>
<sst xmlns="http://schemas.openxmlformats.org/spreadsheetml/2006/main" count="79" uniqueCount="76">
  <si>
    <t>UNAUNCUARTO SA DE CV</t>
  </si>
  <si>
    <t xml:space="preserve">ORDEN DE COMPRA </t>
  </si>
  <si>
    <t>UNA1501192S9</t>
  </si>
  <si>
    <t>CARLOS J NADER No.27 ANDADOR 7 LOCAL 1013 SM2, CANCUN QROO</t>
  </si>
  <si>
    <t xml:space="preserve">Folio OC </t>
  </si>
  <si>
    <t>(998) 8-87-97-82</t>
  </si>
  <si>
    <t>Fecha</t>
  </si>
  <si>
    <t>facturas@unauncuarto.com</t>
  </si>
  <si>
    <t xml:space="preserve">Solicitante </t>
  </si>
  <si>
    <t>Proveedor</t>
  </si>
  <si>
    <t xml:space="preserve">Obra </t>
  </si>
  <si>
    <t>Vendedor</t>
  </si>
  <si>
    <t xml:space="preserve">Dirección de entrega </t>
  </si>
  <si>
    <t>Teléfono</t>
  </si>
  <si>
    <t>Ubicación</t>
  </si>
  <si>
    <t xml:space="preserve">Correo </t>
  </si>
  <si>
    <t xml:space="preserve">Recibe </t>
  </si>
  <si>
    <t xml:space="preserve"># Cotización </t>
  </si>
  <si>
    <t xml:space="preserve">Teléfono </t>
  </si>
  <si>
    <t>No. Requisa</t>
  </si>
  <si>
    <t>Correo facturas</t>
  </si>
  <si>
    <t xml:space="preserve">Codigo UUC </t>
  </si>
  <si>
    <t xml:space="preserve">Código proveedor </t>
  </si>
  <si>
    <t xml:space="preserve">T. Entrega </t>
  </si>
  <si>
    <t xml:space="preserve">Descripción </t>
  </si>
  <si>
    <t>Un</t>
  </si>
  <si>
    <t xml:space="preserve">Cantidad </t>
  </si>
  <si>
    <t>P.U.</t>
  </si>
  <si>
    <t xml:space="preserve">Importe </t>
  </si>
  <si>
    <t>pza</t>
  </si>
  <si>
    <t>SUBTOTAL</t>
  </si>
  <si>
    <t xml:space="preserve">Observaciones y/o comentarios </t>
  </si>
  <si>
    <t>%AMORTIZACION</t>
  </si>
  <si>
    <t xml:space="preserve">$ AMORTIZACIÒN ESTA COMPRA </t>
  </si>
  <si>
    <t xml:space="preserve">IMPORTE NETO A PAGAR </t>
  </si>
  <si>
    <t>IVA 16%</t>
  </si>
  <si>
    <t>T.C.</t>
  </si>
  <si>
    <t xml:space="preserve">Tipo de pago </t>
  </si>
  <si>
    <t xml:space="preserve">CONTADO </t>
  </si>
  <si>
    <t>TOTAL MXN</t>
  </si>
  <si>
    <t>Importe MXN</t>
  </si>
  <si>
    <t>CREDITO</t>
  </si>
  <si>
    <t>ANTICIPADO</t>
  </si>
  <si>
    <t>Autorización</t>
  </si>
  <si>
    <t xml:space="preserve">Pagos parciales según aplique </t>
  </si>
  <si>
    <t>Pago 1</t>
  </si>
  <si>
    <t>Pago 4</t>
  </si>
  <si>
    <t>Pago 7</t>
  </si>
  <si>
    <t>Pago 2</t>
  </si>
  <si>
    <t>Pago 5</t>
  </si>
  <si>
    <t xml:space="preserve">Total pagado </t>
  </si>
  <si>
    <t>Ing. Federico Martinez</t>
  </si>
  <si>
    <t>Pago 3</t>
  </si>
  <si>
    <t>Pago 6</t>
  </si>
  <si>
    <t>AUTORIZADO POR</t>
  </si>
  <si>
    <t xml:space="preserve">FECHA </t>
  </si>
  <si>
    <t xml:space="preserve">Autorización </t>
  </si>
  <si>
    <t>Ing. Ivan Gomez Tagle Avila</t>
  </si>
  <si>
    <t>Ing.Viviana Eleria Lopez</t>
  </si>
  <si>
    <t xml:space="preserve">VELLMARI </t>
  </si>
  <si>
    <t>Calle Puerto Marqués, Zona Hotelera, Puerto Cancún, Zona Hotelera Cancún, Q.R.</t>
  </si>
  <si>
    <t>https://maps.app.goo.gl/JTxxKnSdUs8we2Zz6</t>
  </si>
  <si>
    <t>FERRETERIAS EL DELFIN SA DE CV</t>
  </si>
  <si>
    <t>ALBERTO PACHECO</t>
  </si>
  <si>
    <t>credito2reg102@hotmail.com</t>
  </si>
  <si>
    <t>PZA</t>
  </si>
  <si>
    <t>JAIRO BERNARDO</t>
  </si>
  <si>
    <t>998 403 6184</t>
  </si>
  <si>
    <t xml:space="preserve">BERENICE ARIAS </t>
  </si>
  <si>
    <t>#328</t>
  </si>
  <si>
    <t>CANALIZACIONES HIDRAULICAS NIVEL 8</t>
  </si>
  <si>
    <t>VLM-PVC-328</t>
  </si>
  <si>
    <t>134-CON-A036</t>
  </si>
  <si>
    <t>3 DIAS HABILES</t>
  </si>
  <si>
    <t>BRIDA PLASTICO FLEXIBLE PARA WC 4"</t>
  </si>
  <si>
    <t>CVP/05702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</si>
</sst>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\ .\-"/>
  </numFmts>
  <fonts count="33">
    <font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ptos Narrow"/>
      <family val="2"/>
    </font>
    <font>
      <b/>
      <sz val="14"/>
      <name val="Aptos Narrow"/>
      <family val="2"/>
    </font>
    <font>
      <b/>
      <sz val="16"/>
      <name val="Aptos Narrow"/>
      <family val="2"/>
    </font>
    <font>
      <b/>
      <sz val="22"/>
      <name val="Aptos Narrow"/>
      <family val="2"/>
    </font>
    <font>
      <sz val="12"/>
      <name val="Aptos Narrow"/>
      <family val="2"/>
    </font>
    <font>
      <sz val="9"/>
      <name val="Aptos Narrow"/>
      <family val="2"/>
    </font>
    <font>
      <b/>
      <sz val="14"/>
      <color theme="0"/>
      <name val="Aptos Narrow"/>
      <family val="2"/>
    </font>
    <font>
      <b/>
      <sz val="18"/>
      <name val="Aptos Narrow"/>
      <family val="2"/>
    </font>
    <font>
      <sz val="14"/>
      <name val="Aptos Narrow"/>
      <family val="2"/>
    </font>
    <font>
      <u/>
      <sz val="12"/>
      <color theme="10"/>
      <name val="Aptos Narrow"/>
      <family val="2"/>
    </font>
    <font>
      <b/>
      <sz val="11"/>
      <color theme="0"/>
      <name val="Aptos Narrow"/>
      <family val="2"/>
    </font>
    <font>
      <u/>
      <sz val="14"/>
      <color theme="10"/>
      <name val="Calibri"/>
      <family val="2"/>
      <scheme val="minor"/>
    </font>
    <font>
      <b/>
      <sz val="12"/>
      <color theme="0"/>
      <name val="Aptos Narrow"/>
      <family val="2"/>
    </font>
    <font>
      <b/>
      <sz val="14"/>
      <color rgb="FFFF0000"/>
      <name val="Aptos Narrow"/>
    </font>
    <font>
      <sz val="16"/>
      <name val="Arial"/>
      <family val="2"/>
    </font>
    <font>
      <b/>
      <sz val="18"/>
      <name val="Arial"/>
      <family val="2"/>
    </font>
    <font>
      <b/>
      <sz val="14"/>
      <name val="Aptos Narrow"/>
    </font>
    <font>
      <sz val="18"/>
      <name val="Arial"/>
      <family val="2"/>
    </font>
    <font>
      <sz val="14"/>
      <color rgb="FFFF0000"/>
      <name val="Aptos Narrow"/>
      <family val="2"/>
    </font>
    <font>
      <b/>
      <sz val="12"/>
      <name val="Aptos Narrow"/>
      <family val="2"/>
    </font>
    <font>
      <sz val="16"/>
      <color theme="1"/>
      <name val="Arial"/>
      <family val="2"/>
    </font>
    <font>
      <sz val="16"/>
      <name val="Aptos Narrow"/>
    </font>
    <font>
      <sz val="14"/>
      <name val="Arial"/>
      <family val="2"/>
    </font>
    <font>
      <sz val="14"/>
      <name val="Aptos Narrow"/>
    </font>
    <font>
      <b/>
      <sz val="14"/>
      <color theme="1"/>
      <name val="Arial"/>
      <family val="2"/>
    </font>
    <font>
      <b/>
      <sz val="11"/>
      <color rgb="FF0070C0"/>
      <name val="Aptos Narrow"/>
    </font>
    <font>
      <b/>
      <sz val="11"/>
      <color rgb="FFFF0000"/>
      <name val="Aptos Narrow"/>
    </font>
    <font>
      <sz val="11"/>
      <color theme="1"/>
      <name val="Arial"/>
      <family val="2"/>
    </font>
    <font>
      <sz val="11"/>
      <name val="Arial"/>
      <family val="2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12" fillId="0" borderId="0" xfId="3" applyFont="1"/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9" fillId="2" borderId="18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vertical="center" wrapText="1"/>
    </xf>
    <xf numFmtId="0" fontId="9" fillId="2" borderId="19" xfId="0" applyFont="1" applyFill="1" applyBorder="1"/>
    <xf numFmtId="0" fontId="9" fillId="2" borderId="20" xfId="0" applyFont="1" applyFill="1" applyBorder="1"/>
    <xf numFmtId="0" fontId="9" fillId="2" borderId="21" xfId="0" applyFont="1" applyFill="1" applyBorder="1" applyAlignment="1">
      <alignment horizontal="left" vertical="center"/>
    </xf>
    <xf numFmtId="0" fontId="9" fillId="2" borderId="24" xfId="0" applyFont="1" applyFill="1" applyBorder="1"/>
    <xf numFmtId="0" fontId="13" fillId="0" borderId="0" xfId="0" applyFont="1"/>
    <xf numFmtId="0" fontId="3" fillId="0" borderId="0" xfId="0" applyFont="1" applyAlignment="1">
      <alignment wrapText="1"/>
    </xf>
    <xf numFmtId="0" fontId="15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43" fontId="18" fillId="0" borderId="0" xfId="1" applyFont="1" applyAlignment="1">
      <alignment horizontal="right" vertical="center"/>
    </xf>
    <xf numFmtId="43" fontId="20" fillId="0" borderId="0" xfId="1" applyFont="1"/>
    <xf numFmtId="0" fontId="11" fillId="0" borderId="31" xfId="0" applyFont="1" applyBorder="1"/>
    <xf numFmtId="0" fontId="4" fillId="0" borderId="31" xfId="0" applyFont="1" applyBorder="1" applyAlignment="1">
      <alignment horizontal="right"/>
    </xf>
    <xf numFmtId="43" fontId="20" fillId="0" borderId="31" xfId="1" applyFont="1" applyBorder="1"/>
    <xf numFmtId="0" fontId="4" fillId="0" borderId="0" xfId="0" applyFont="1" applyAlignment="1">
      <alignment horizontal="right"/>
    </xf>
    <xf numFmtId="0" fontId="21" fillId="0" borderId="37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27" xfId="0" applyFont="1" applyBorder="1" applyAlignment="1">
      <alignment vertical="center"/>
    </xf>
    <xf numFmtId="0" fontId="9" fillId="2" borderId="16" xfId="0" applyFont="1" applyFill="1" applyBorder="1"/>
    <xf numFmtId="0" fontId="21" fillId="0" borderId="16" xfId="0" applyFont="1" applyBorder="1" applyAlignment="1">
      <alignment vertical="center"/>
    </xf>
    <xf numFmtId="0" fontId="9" fillId="0" borderId="0" xfId="0" applyFont="1"/>
    <xf numFmtId="43" fontId="18" fillId="0" borderId="0" xfId="1" applyFont="1"/>
    <xf numFmtId="0" fontId="9" fillId="2" borderId="21" xfId="0" applyFont="1" applyFill="1" applyBorder="1"/>
    <xf numFmtId="164" fontId="11" fillId="0" borderId="29" xfId="0" applyNumberFormat="1" applyFont="1" applyBorder="1"/>
    <xf numFmtId="0" fontId="9" fillId="0" borderId="0" xfId="0" applyFont="1" applyAlignment="1">
      <alignment horizontal="center"/>
    </xf>
    <xf numFmtId="43" fontId="4" fillId="0" borderId="0" xfId="1" applyFont="1"/>
    <xf numFmtId="0" fontId="22" fillId="0" borderId="0" xfId="0" applyFont="1"/>
    <xf numFmtId="164" fontId="4" fillId="0" borderId="0" xfId="0" applyNumberFormat="1" applyFont="1"/>
    <xf numFmtId="0" fontId="4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40" xfId="0" applyFont="1" applyBorder="1"/>
    <xf numFmtId="0" fontId="11" fillId="0" borderId="41" xfId="0" applyFont="1" applyBorder="1"/>
    <xf numFmtId="0" fontId="9" fillId="2" borderId="6" xfId="0" applyFont="1" applyFill="1" applyBorder="1"/>
    <xf numFmtId="44" fontId="11" fillId="0" borderId="7" xfId="2" applyFont="1" applyBorder="1"/>
    <xf numFmtId="0" fontId="9" fillId="2" borderId="7" xfId="0" applyFont="1" applyFill="1" applyBorder="1"/>
    <xf numFmtId="0" fontId="11" fillId="0" borderId="30" xfId="0" applyFont="1" applyBorder="1"/>
    <xf numFmtId="14" fontId="11" fillId="0" borderId="32" xfId="0" applyNumberFormat="1" applyFont="1" applyBorder="1"/>
    <xf numFmtId="0" fontId="9" fillId="2" borderId="11" xfId="0" applyFont="1" applyFill="1" applyBorder="1"/>
    <xf numFmtId="44" fontId="11" fillId="0" borderId="12" xfId="2" applyFont="1" applyBorder="1"/>
    <xf numFmtId="0" fontId="9" fillId="2" borderId="12" xfId="0" applyFont="1" applyFill="1" applyBorder="1"/>
    <xf numFmtId="0" fontId="4" fillId="0" borderId="36" xfId="0" applyFont="1" applyBorder="1"/>
    <xf numFmtId="0" fontId="11" fillId="0" borderId="37" xfId="0" applyFont="1" applyBorder="1"/>
    <xf numFmtId="0" fontId="4" fillId="0" borderId="38" xfId="0" applyFont="1" applyBorder="1"/>
    <xf numFmtId="0" fontId="15" fillId="2" borderId="47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1" fillId="0" borderId="40" xfId="0" applyFont="1" applyBorder="1" applyAlignment="1">
      <alignment horizontal="left" vertical="center"/>
    </xf>
    <xf numFmtId="14" fontId="11" fillId="0" borderId="41" xfId="0" applyNumberFormat="1" applyFont="1" applyBorder="1"/>
    <xf numFmtId="0" fontId="11" fillId="0" borderId="0" xfId="0" applyFont="1" applyBorder="1"/>
    <xf numFmtId="0" fontId="21" fillId="0" borderId="0" xfId="0" applyFont="1" applyBorder="1" applyAlignment="1">
      <alignment vertical="center"/>
    </xf>
    <xf numFmtId="44" fontId="24" fillId="0" borderId="7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6" xfId="0" applyFont="1" applyBorder="1"/>
    <xf numFmtId="44" fontId="17" fillId="0" borderId="48" xfId="1" applyNumberFormat="1" applyFont="1" applyFill="1" applyBorder="1" applyAlignment="1">
      <alignment horizontal="center" vertical="center"/>
    </xf>
    <xf numFmtId="44" fontId="26" fillId="0" borderId="49" xfId="1" applyNumberFormat="1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43" fontId="24" fillId="0" borderId="12" xfId="1" applyFont="1" applyFill="1" applyBorder="1" applyAlignment="1">
      <alignment horizontal="center" vertical="center"/>
    </xf>
    <xf numFmtId="44" fontId="17" fillId="0" borderId="23" xfId="1" applyNumberFormat="1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2" fontId="25" fillId="0" borderId="7" xfId="0" applyNumberFormat="1" applyFont="1" applyFill="1" applyBorder="1" applyAlignment="1">
      <alignment horizontal="center" vertical="center"/>
    </xf>
    <xf numFmtId="44" fontId="25" fillId="0" borderId="7" xfId="0" applyNumberFormat="1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2" fontId="17" fillId="0" borderId="7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/>
    </xf>
    <xf numFmtId="2" fontId="31" fillId="0" borderId="7" xfId="0" applyNumberFormat="1" applyFont="1" applyFill="1" applyBorder="1" applyAlignment="1">
      <alignment horizontal="center" vertical="center"/>
    </xf>
    <xf numFmtId="44" fontId="31" fillId="0" borderId="7" xfId="0" applyNumberFormat="1" applyFont="1" applyFill="1" applyBorder="1" applyAlignment="1">
      <alignment horizontal="center" vertical="center"/>
    </xf>
    <xf numFmtId="44" fontId="32" fillId="0" borderId="49" xfId="1" applyNumberFormat="1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 wrapText="1"/>
    </xf>
    <xf numFmtId="44" fontId="11" fillId="0" borderId="8" xfId="2" applyFont="1" applyBorder="1" applyAlignment="1">
      <alignment horizontal="center"/>
    </xf>
    <xf numFmtId="44" fontId="11" fillId="0" borderId="34" xfId="2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44" fontId="11" fillId="0" borderId="9" xfId="2" applyFont="1" applyBorder="1" applyAlignment="1">
      <alignment horizontal="center"/>
    </xf>
    <xf numFmtId="44" fontId="11" fillId="0" borderId="10" xfId="2" applyFont="1" applyBorder="1" applyAlignment="1">
      <alignment horizont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44" fontId="11" fillId="0" borderId="42" xfId="2" applyFont="1" applyBorder="1" applyAlignment="1">
      <alignment horizontal="center"/>
    </xf>
    <xf numFmtId="44" fontId="11" fillId="0" borderId="44" xfId="2" applyFont="1" applyBorder="1" applyAlignment="1">
      <alignment horizontal="center"/>
    </xf>
    <xf numFmtId="44" fontId="11" fillId="0" borderId="45" xfId="2" applyFont="1" applyBorder="1" applyAlignment="1">
      <alignment horizontal="center"/>
    </xf>
    <xf numFmtId="44" fontId="11" fillId="0" borderId="32" xfId="2" applyFont="1" applyBorder="1" applyAlignment="1">
      <alignment horizontal="center"/>
    </xf>
    <xf numFmtId="44" fontId="11" fillId="0" borderId="46" xfId="2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9" fillId="2" borderId="36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horizontal="left" vertical="center" wrapText="1"/>
    </xf>
    <xf numFmtId="2" fontId="23" fillId="0" borderId="22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65" fontId="30" fillId="0" borderId="7" xfId="0" applyNumberFormat="1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2" fillId="0" borderId="26" xfId="3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165" fontId="27" fillId="0" borderId="7" xfId="0" applyNumberFormat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0" borderId="9" xfId="3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19" xfId="3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10" xfId="3" applyBorder="1" applyAlignment="1">
      <alignment horizontal="center" vertical="center"/>
    </xf>
    <xf numFmtId="0" fontId="14" fillId="0" borderId="22" xfId="3" applyNumberFormat="1" applyFont="1" applyBorder="1" applyAlignment="1">
      <alignment horizontal="center" vertical="center"/>
    </xf>
    <xf numFmtId="0" fontId="14" fillId="0" borderId="12" xfId="3" applyNumberFormat="1" applyFont="1" applyBorder="1" applyAlignment="1">
      <alignment horizontal="center" vertical="center"/>
    </xf>
    <xf numFmtId="0" fontId="14" fillId="0" borderId="23" xfId="3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4" fontId="11" fillId="0" borderId="8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</cellXfs>
  <cellStyles count="6">
    <cellStyle name="Hipervínculo" xfId="3" builtinId="8"/>
    <cellStyle name="Millares" xfId="1" builtinId="3"/>
    <cellStyle name="Millares 2" xfId="4" xr:uid="{70054E80-A509-4106-907E-B15D5E878363}"/>
    <cellStyle name="Moneda" xfId="2" builtinId="4"/>
    <cellStyle name="Moneda 2" xfId="5" xr:uid="{275F38CA-16E6-47C8-ABC3-A64C56B8EB7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661147</xdr:colOff>
      <xdr:row>1</xdr:row>
      <xdr:rowOff>6724</xdr:rowOff>
    </xdr:from>
    <xdr:ext cx="1360394" cy="130436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6007" y="441064"/>
          <a:ext cx="1360394" cy="130436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30</xdr:row>
          <xdr:rowOff>47625</xdr:rowOff>
        </xdr:from>
        <xdr:to>
          <xdr:col>12</xdr:col>
          <xdr:colOff>419100</xdr:colOff>
          <xdr:row>30</xdr:row>
          <xdr:rowOff>257175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31</xdr:row>
          <xdr:rowOff>38100</xdr:rowOff>
        </xdr:from>
        <xdr:to>
          <xdr:col>12</xdr:col>
          <xdr:colOff>561975</xdr:colOff>
          <xdr:row>31</xdr:row>
          <xdr:rowOff>242454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32</xdr:row>
          <xdr:rowOff>38100</xdr:rowOff>
        </xdr:from>
        <xdr:to>
          <xdr:col>12</xdr:col>
          <xdr:colOff>419100</xdr:colOff>
          <xdr:row>33</xdr:row>
          <xdr:rowOff>28576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590550</xdr:colOff>
          <xdr:row>41</xdr:row>
          <xdr:rowOff>438150</xdr:rowOff>
        </xdr:from>
        <xdr:to>
          <xdr:col>16</xdr:col>
          <xdr:colOff>371475</xdr:colOff>
          <xdr:row>42</xdr:row>
          <xdr:rowOff>268431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600075</xdr:colOff>
          <xdr:row>43</xdr:row>
          <xdr:rowOff>28575</xdr:rowOff>
        </xdr:from>
        <xdr:to>
          <xdr:col>16</xdr:col>
          <xdr:colOff>285750</xdr:colOff>
          <xdr:row>44</xdr:row>
          <xdr:rowOff>28576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hyperlink" Target="https://maps.app.goo.gl/JTxxKnSdUs8we2Zz6" TargetMode="External"/><Relationship Id="rId7" Type="http://schemas.openxmlformats.org/officeDocument/2006/relationships/ctrlProp" Target="../ctrlProps/ctrlProp1.xml"/><Relationship Id="rId2" Type="http://schemas.openxmlformats.org/officeDocument/2006/relationships/hyperlink" Target="mailto:facturas@unauncuarto.com" TargetMode="External"/><Relationship Id="rId1" Type="http://schemas.openxmlformats.org/officeDocument/2006/relationships/hyperlink" Target="mailto:facturas@unauncuarto.com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5.xml"/><Relationship Id="rId5" Type="http://schemas.openxmlformats.org/officeDocument/2006/relationships/drawing" Target="../drawings/drawing1.xml"/><Relationship Id="rId10" Type="http://schemas.openxmlformats.org/officeDocument/2006/relationships/ctrlProp" Target="../ctrlProps/ctrlProp4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07EC-3EF2-4372-95C0-9F58618D2532}">
  <dimension ref="B1:T47"/>
  <sheetViews>
    <sheetView showGridLines="0" tabSelected="1" view="pageBreakPreview" zoomScale="110" zoomScaleNormal="100" zoomScaleSheetLayoutView="110" workbookViewId="0">
      <selection activeCell="D15" sqref="D15:K16"/>
    </sheetView>
  </sheetViews>
  <sheetFormatPr baseColWidth="10" defaultColWidth="11.42578125" defaultRowHeight="14.25"/>
  <cols>
    <col min="1" max="1" width="11.42578125" style="1"/>
    <col min="2" max="2" width="19.5703125" style="1" customWidth="1"/>
    <col min="3" max="3" width="16.7109375" style="1" customWidth="1"/>
    <col min="4" max="4" width="15.5703125" style="1" customWidth="1"/>
    <col min="5" max="5" width="11.42578125" style="1"/>
    <col min="6" max="6" width="8.7109375" style="1" customWidth="1"/>
    <col min="7" max="8" width="2.28515625" style="1" customWidth="1"/>
    <col min="9" max="11" width="3" style="1" customWidth="1"/>
    <col min="12" max="12" width="9.140625" style="1" customWidth="1"/>
    <col min="13" max="13" width="22.140625" style="1" customWidth="1"/>
    <col min="14" max="15" width="12.28515625" style="1" customWidth="1"/>
    <col min="16" max="16" width="16.85546875" style="1" customWidth="1"/>
    <col min="17" max="17" width="20.140625" style="1" customWidth="1"/>
    <col min="18" max="18" width="15.5703125" style="1" customWidth="1"/>
    <col min="19" max="16384" width="11.42578125" style="1"/>
  </cols>
  <sheetData>
    <row r="1" spans="3:20" ht="34.5" customHeight="1"/>
    <row r="2" spans="3:20" ht="24.75" customHeight="1">
      <c r="D2" s="2" t="s">
        <v>0</v>
      </c>
      <c r="E2" s="3"/>
      <c r="F2" s="4"/>
      <c r="G2" s="4"/>
      <c r="H2" s="4"/>
      <c r="I2" s="4"/>
      <c r="J2" s="4"/>
      <c r="K2" s="4"/>
      <c r="L2" s="4"/>
      <c r="M2" s="182" t="s">
        <v>1</v>
      </c>
      <c r="N2" s="182"/>
      <c r="O2" s="182"/>
      <c r="P2" s="182"/>
      <c r="Q2" s="182"/>
    </row>
    <row r="3" spans="3:20" ht="27" customHeight="1" thickBot="1">
      <c r="D3" s="5" t="s">
        <v>2</v>
      </c>
      <c r="E3" s="74"/>
      <c r="F3" s="74"/>
      <c r="G3" s="6"/>
      <c r="H3" s="6"/>
      <c r="I3" s="6"/>
      <c r="J3" s="6"/>
      <c r="K3" s="6"/>
      <c r="L3" s="6"/>
      <c r="M3" s="182"/>
      <c r="N3" s="182"/>
      <c r="O3" s="182"/>
      <c r="P3" s="182"/>
      <c r="Q3" s="182"/>
    </row>
    <row r="4" spans="3:20" ht="44.25" customHeight="1">
      <c r="D4" s="183" t="s">
        <v>3</v>
      </c>
      <c r="E4" s="183"/>
      <c r="F4" s="183"/>
      <c r="G4" s="6"/>
      <c r="H4" s="6"/>
      <c r="I4" s="6"/>
      <c r="J4" s="6"/>
      <c r="K4" s="6"/>
      <c r="L4" s="6"/>
      <c r="M4" s="184" t="s">
        <v>4</v>
      </c>
      <c r="N4" s="185"/>
      <c r="O4" s="186" t="s">
        <v>71</v>
      </c>
      <c r="P4" s="187"/>
      <c r="Q4" s="188"/>
    </row>
    <row r="5" spans="3:20" ht="21.75" customHeight="1">
      <c r="D5" s="7" t="s">
        <v>5</v>
      </c>
      <c r="E5" s="7"/>
      <c r="F5" s="7"/>
      <c r="M5" s="189" t="s">
        <v>6</v>
      </c>
      <c r="N5" s="190"/>
      <c r="O5" s="191">
        <v>46062</v>
      </c>
      <c r="P5" s="192"/>
      <c r="Q5" s="193"/>
    </row>
    <row r="6" spans="3:20" ht="23.25" customHeight="1" thickBot="1">
      <c r="D6" s="8" t="s">
        <v>7</v>
      </c>
      <c r="E6" s="7"/>
      <c r="F6" s="7"/>
      <c r="M6" s="170" t="s">
        <v>8</v>
      </c>
      <c r="N6" s="171"/>
      <c r="O6" s="172" t="s">
        <v>68</v>
      </c>
      <c r="P6" s="173"/>
      <c r="Q6" s="174"/>
    </row>
    <row r="7" spans="3:20" ht="16.5" customHeight="1">
      <c r="D7" s="8"/>
      <c r="E7" s="7"/>
      <c r="F7" s="7"/>
      <c r="M7" s="9"/>
      <c r="N7" s="9"/>
      <c r="O7" s="9"/>
      <c r="P7" s="10"/>
      <c r="Q7" s="10"/>
    </row>
    <row r="8" spans="3:20" ht="5.45" customHeight="1" thickBot="1"/>
    <row r="9" spans="3:20" ht="40.5" customHeight="1">
      <c r="C9" s="11" t="s">
        <v>9</v>
      </c>
      <c r="D9" s="175" t="s">
        <v>62</v>
      </c>
      <c r="E9" s="176"/>
      <c r="F9" s="176"/>
      <c r="G9" s="176"/>
      <c r="H9" s="176"/>
      <c r="I9" s="176"/>
      <c r="J9" s="176"/>
      <c r="K9" s="177"/>
      <c r="L9" s="10"/>
      <c r="M9" s="12" t="s">
        <v>10</v>
      </c>
      <c r="N9" s="178" t="s">
        <v>59</v>
      </c>
      <c r="O9" s="178"/>
      <c r="P9" s="178"/>
      <c r="Q9" s="179"/>
      <c r="T9" s="13"/>
    </row>
    <row r="10" spans="3:20" ht="34.5" customHeight="1">
      <c r="C10" s="14" t="s">
        <v>11</v>
      </c>
      <c r="D10" s="156" t="s">
        <v>63</v>
      </c>
      <c r="E10" s="157"/>
      <c r="F10" s="157"/>
      <c r="G10" s="157"/>
      <c r="H10" s="157"/>
      <c r="I10" s="157"/>
      <c r="J10" s="157"/>
      <c r="K10" s="158"/>
      <c r="L10" s="10"/>
      <c r="M10" s="15" t="s">
        <v>12</v>
      </c>
      <c r="N10" s="180" t="s">
        <v>60</v>
      </c>
      <c r="O10" s="180"/>
      <c r="P10" s="180"/>
      <c r="Q10" s="181"/>
    </row>
    <row r="11" spans="3:20" ht="34.5" customHeight="1">
      <c r="C11" s="14" t="s">
        <v>13</v>
      </c>
      <c r="D11" s="156">
        <v>9988935511</v>
      </c>
      <c r="E11" s="157"/>
      <c r="F11" s="157"/>
      <c r="G11" s="157"/>
      <c r="H11" s="157"/>
      <c r="I11" s="157"/>
      <c r="J11" s="157"/>
      <c r="K11" s="158"/>
      <c r="L11" s="10"/>
      <c r="M11" s="16" t="s">
        <v>14</v>
      </c>
      <c r="N11" s="159" t="s">
        <v>61</v>
      </c>
      <c r="O11" s="160"/>
      <c r="P11" s="160"/>
      <c r="Q11" s="161"/>
    </row>
    <row r="12" spans="3:20" ht="34.5" customHeight="1">
      <c r="C12" s="14" t="s">
        <v>15</v>
      </c>
      <c r="D12" s="162" t="s">
        <v>64</v>
      </c>
      <c r="E12" s="163"/>
      <c r="F12" s="163"/>
      <c r="G12" s="163"/>
      <c r="H12" s="163"/>
      <c r="I12" s="163"/>
      <c r="J12" s="163"/>
      <c r="K12" s="164"/>
      <c r="L12" s="10"/>
      <c r="M12" s="17" t="s">
        <v>16</v>
      </c>
      <c r="N12" s="157" t="s">
        <v>66</v>
      </c>
      <c r="O12" s="157"/>
      <c r="P12" s="157"/>
      <c r="Q12" s="158"/>
    </row>
    <row r="13" spans="3:20" ht="34.5" customHeight="1" thickBot="1">
      <c r="C13" s="18" t="s">
        <v>17</v>
      </c>
      <c r="D13" s="165" t="s">
        <v>75</v>
      </c>
      <c r="E13" s="166"/>
      <c r="F13" s="166"/>
      <c r="G13" s="166"/>
      <c r="H13" s="166"/>
      <c r="I13" s="166"/>
      <c r="J13" s="166"/>
      <c r="K13" s="167"/>
      <c r="L13" s="10"/>
      <c r="M13" s="19" t="s">
        <v>18</v>
      </c>
      <c r="N13" s="168" t="s">
        <v>67</v>
      </c>
      <c r="O13" s="168"/>
      <c r="P13" s="168"/>
      <c r="Q13" s="169"/>
    </row>
    <row r="14" spans="3:20" ht="15.75" thickBot="1">
      <c r="C14" s="20"/>
      <c r="D14" s="10"/>
      <c r="E14" s="10"/>
      <c r="F14" s="10"/>
      <c r="G14" s="10"/>
      <c r="H14" s="10"/>
      <c r="I14" s="10"/>
      <c r="J14" s="10"/>
      <c r="K14" s="10"/>
      <c r="L14" s="10"/>
      <c r="M14" s="20"/>
      <c r="N14" s="10"/>
      <c r="O14" s="10"/>
      <c r="P14" s="10"/>
      <c r="Q14" s="10"/>
    </row>
    <row r="15" spans="3:20" ht="15" customHeight="1">
      <c r="C15" s="134" t="s">
        <v>19</v>
      </c>
      <c r="D15" s="142" t="s">
        <v>69</v>
      </c>
      <c r="E15" s="143"/>
      <c r="F15" s="143"/>
      <c r="G15" s="143"/>
      <c r="H15" s="143"/>
      <c r="I15" s="143"/>
      <c r="J15" s="143"/>
      <c r="K15" s="144"/>
      <c r="L15" s="10"/>
      <c r="M15" s="134" t="s">
        <v>20</v>
      </c>
      <c r="N15" s="148" t="s">
        <v>7</v>
      </c>
      <c r="O15" s="149"/>
      <c r="P15" s="149"/>
      <c r="Q15" s="150"/>
    </row>
    <row r="16" spans="3:20" ht="21.75" customHeight="1" thickBot="1">
      <c r="C16" s="136"/>
      <c r="D16" s="145"/>
      <c r="E16" s="146"/>
      <c r="F16" s="146"/>
      <c r="G16" s="146"/>
      <c r="H16" s="146"/>
      <c r="I16" s="146"/>
      <c r="J16" s="146"/>
      <c r="K16" s="147"/>
      <c r="L16" s="10"/>
      <c r="M16" s="136"/>
      <c r="N16" s="151"/>
      <c r="O16" s="152"/>
      <c r="P16" s="152"/>
      <c r="Q16" s="153"/>
    </row>
    <row r="17" spans="2:17" ht="15" thickBot="1"/>
    <row r="18" spans="2:17" s="21" customFormat="1" ht="38.25" customHeight="1">
      <c r="B18" s="22" t="s">
        <v>21</v>
      </c>
      <c r="C18" s="23" t="s">
        <v>22</v>
      </c>
      <c r="D18" s="23" t="s">
        <v>23</v>
      </c>
      <c r="E18" s="154" t="s">
        <v>24</v>
      </c>
      <c r="F18" s="154"/>
      <c r="G18" s="154"/>
      <c r="H18" s="154"/>
      <c r="I18" s="154"/>
      <c r="J18" s="154"/>
      <c r="K18" s="154"/>
      <c r="L18" s="154"/>
      <c r="M18" s="154"/>
      <c r="N18" s="75" t="s">
        <v>25</v>
      </c>
      <c r="O18" s="62" t="s">
        <v>26</v>
      </c>
      <c r="P18" s="23" t="s">
        <v>27</v>
      </c>
      <c r="Q18" s="24" t="s">
        <v>28</v>
      </c>
    </row>
    <row r="19" spans="2:17" s="25" customFormat="1" ht="10.5" customHeight="1">
      <c r="B19" s="78"/>
      <c r="C19" s="77"/>
      <c r="D19" s="97"/>
      <c r="E19" s="155"/>
      <c r="F19" s="155"/>
      <c r="G19" s="155"/>
      <c r="H19" s="155"/>
      <c r="I19" s="155"/>
      <c r="J19" s="155"/>
      <c r="K19" s="155"/>
      <c r="L19" s="155"/>
      <c r="M19" s="155"/>
      <c r="N19" s="95"/>
      <c r="O19" s="96"/>
      <c r="P19" s="73"/>
      <c r="Q19" s="79"/>
    </row>
    <row r="20" spans="2:17" s="25" customFormat="1" ht="37.15" customHeight="1">
      <c r="B20" s="88" t="s">
        <v>72</v>
      </c>
      <c r="C20" s="89"/>
      <c r="D20" s="94" t="s">
        <v>73</v>
      </c>
      <c r="E20" s="141" t="s">
        <v>74</v>
      </c>
      <c r="F20" s="141"/>
      <c r="G20" s="141"/>
      <c r="H20" s="141"/>
      <c r="I20" s="141"/>
      <c r="J20" s="141"/>
      <c r="K20" s="141"/>
      <c r="L20" s="141"/>
      <c r="M20" s="141"/>
      <c r="N20" s="98" t="s">
        <v>65</v>
      </c>
      <c r="O20" s="99">
        <v>50</v>
      </c>
      <c r="P20" s="100">
        <v>150.97999999999999</v>
      </c>
      <c r="Q20" s="101">
        <f>O20*P20</f>
        <v>7548.9999999999991</v>
      </c>
    </row>
    <row r="21" spans="2:17" s="25" customFormat="1" ht="32.450000000000003" customHeight="1">
      <c r="B21" s="88"/>
      <c r="C21" s="89"/>
      <c r="D21" s="94"/>
      <c r="E21" s="141"/>
      <c r="F21" s="141"/>
      <c r="G21" s="141"/>
      <c r="H21" s="141"/>
      <c r="I21" s="141"/>
      <c r="J21" s="141"/>
      <c r="K21" s="141"/>
      <c r="L21" s="141"/>
      <c r="M21" s="141"/>
      <c r="N21" s="98"/>
      <c r="O21" s="99"/>
      <c r="P21" s="100"/>
      <c r="Q21" s="101">
        <f t="shared" ref="Q21:Q22" si="0">O21*P21</f>
        <v>0</v>
      </c>
    </row>
    <row r="22" spans="2:17" s="25" customFormat="1" ht="32.450000000000003" customHeight="1">
      <c r="B22" s="102"/>
      <c r="C22" s="89"/>
      <c r="D22" s="94"/>
      <c r="E22" s="141"/>
      <c r="F22" s="141"/>
      <c r="G22" s="141"/>
      <c r="H22" s="141"/>
      <c r="I22" s="141"/>
      <c r="J22" s="141"/>
      <c r="K22" s="141"/>
      <c r="L22" s="141"/>
      <c r="M22" s="141"/>
      <c r="N22" s="98"/>
      <c r="O22" s="99"/>
      <c r="P22" s="100"/>
      <c r="Q22" s="101">
        <f t="shared" si="0"/>
        <v>0</v>
      </c>
    </row>
    <row r="23" spans="2:17" s="25" customFormat="1" ht="32.450000000000003" customHeight="1">
      <c r="B23" s="88"/>
      <c r="C23" s="89"/>
      <c r="D23" s="94"/>
      <c r="E23" s="141"/>
      <c r="F23" s="141"/>
      <c r="G23" s="141"/>
      <c r="H23" s="141"/>
      <c r="I23" s="141"/>
      <c r="J23" s="141"/>
      <c r="K23" s="141"/>
      <c r="L23" s="141"/>
      <c r="M23" s="141"/>
      <c r="N23" s="98"/>
      <c r="O23" s="99"/>
      <c r="P23" s="100"/>
      <c r="Q23" s="101">
        <f>O23*P23</f>
        <v>0</v>
      </c>
    </row>
    <row r="24" spans="2:17" s="25" customFormat="1" ht="32.450000000000003" customHeight="1">
      <c r="B24" s="88"/>
      <c r="C24" s="89"/>
      <c r="D24" s="90"/>
      <c r="E24" s="141"/>
      <c r="F24" s="141"/>
      <c r="G24" s="141"/>
      <c r="H24" s="141"/>
      <c r="I24" s="141"/>
      <c r="J24" s="141"/>
      <c r="K24" s="141"/>
      <c r="L24" s="141"/>
      <c r="M24" s="141"/>
      <c r="N24" s="91"/>
      <c r="O24" s="92"/>
      <c r="P24" s="93"/>
      <c r="Q24" s="80"/>
    </row>
    <row r="25" spans="2:17" s="25" customFormat="1" ht="26.25" customHeight="1" thickBot="1">
      <c r="B25" s="81"/>
      <c r="C25" s="82"/>
      <c r="D25" s="83"/>
      <c r="E25" s="137"/>
      <c r="F25" s="138"/>
      <c r="G25" s="138"/>
      <c r="H25" s="138"/>
      <c r="I25" s="138"/>
      <c r="J25" s="138"/>
      <c r="K25" s="138"/>
      <c r="L25" s="138"/>
      <c r="M25" s="139"/>
      <c r="N25" s="84"/>
      <c r="O25" s="85"/>
      <c r="P25" s="86"/>
      <c r="Q25" s="87"/>
    </row>
    <row r="26" spans="2:17" ht="24" thickBot="1">
      <c r="C26" s="76"/>
      <c r="D26" s="26"/>
      <c r="E26" s="140"/>
      <c r="F26" s="140"/>
      <c r="G26" s="140"/>
      <c r="H26" s="140"/>
      <c r="I26" s="140"/>
      <c r="J26" s="140"/>
      <c r="K26" s="140"/>
      <c r="L26" s="140"/>
      <c r="M26" s="140"/>
      <c r="N26" s="26" t="s">
        <v>29</v>
      </c>
      <c r="O26" s="120" t="s">
        <v>30</v>
      </c>
      <c r="P26" s="120"/>
      <c r="Q26" s="27">
        <f>SUM(Q19:Q25)</f>
        <v>7548.9999999999991</v>
      </c>
    </row>
    <row r="27" spans="2:17" ht="24" thickBot="1">
      <c r="C27" s="121" t="s">
        <v>31</v>
      </c>
      <c r="D27" s="122"/>
      <c r="E27" s="122"/>
      <c r="F27" s="122"/>
      <c r="G27" s="122"/>
      <c r="H27" s="122"/>
      <c r="I27" s="122"/>
      <c r="J27" s="122"/>
      <c r="K27" s="122"/>
      <c r="L27" s="123"/>
      <c r="M27" s="25"/>
      <c r="N27" s="25"/>
      <c r="O27" s="124" t="s">
        <v>32</v>
      </c>
      <c r="P27" s="124"/>
      <c r="Q27" s="28"/>
    </row>
    <row r="28" spans="2:17" ht="18.75" customHeight="1" thickBot="1">
      <c r="C28" s="125" t="s">
        <v>70</v>
      </c>
      <c r="D28" s="126"/>
      <c r="E28" s="126"/>
      <c r="F28" s="126"/>
      <c r="G28" s="126"/>
      <c r="H28" s="126"/>
      <c r="I28" s="126"/>
      <c r="J28" s="126"/>
      <c r="K28" s="126"/>
      <c r="L28" s="127"/>
      <c r="M28" s="25"/>
      <c r="N28" s="29"/>
      <c r="O28" s="29"/>
      <c r="P28" s="30" t="s">
        <v>33</v>
      </c>
      <c r="Q28" s="31">
        <f>Q26*Q27</f>
        <v>0</v>
      </c>
    </row>
    <row r="29" spans="2:17" ht="18.75" customHeight="1" thickBot="1">
      <c r="C29" s="128"/>
      <c r="D29" s="129"/>
      <c r="E29" s="129"/>
      <c r="F29" s="129"/>
      <c r="G29" s="129"/>
      <c r="H29" s="129"/>
      <c r="I29" s="129"/>
      <c r="J29" s="129"/>
      <c r="K29" s="129"/>
      <c r="L29" s="130"/>
      <c r="M29" s="25"/>
      <c r="N29" s="25"/>
      <c r="O29" s="25"/>
      <c r="P29" s="32" t="s">
        <v>34</v>
      </c>
      <c r="Q29" s="28">
        <f>Q26-Q28</f>
        <v>7548.9999999999991</v>
      </c>
    </row>
    <row r="30" spans="2:17" ht="26.25" customHeight="1" thickBot="1">
      <c r="C30" s="33"/>
      <c r="D30" s="34"/>
      <c r="E30" s="34"/>
      <c r="F30" s="34"/>
      <c r="G30" s="34"/>
      <c r="H30" s="34"/>
      <c r="I30" s="34"/>
      <c r="J30" s="34"/>
      <c r="K30" s="34"/>
      <c r="L30" s="35"/>
      <c r="M30" s="25"/>
      <c r="N30" s="25"/>
      <c r="O30" s="25"/>
      <c r="P30" s="30" t="s">
        <v>35</v>
      </c>
      <c r="Q30" s="31">
        <f>Q29*0.16</f>
        <v>1207.8399999999999</v>
      </c>
    </row>
    <row r="31" spans="2:17" ht="23.25">
      <c r="C31" s="36" t="s">
        <v>36</v>
      </c>
      <c r="D31" s="37"/>
      <c r="E31" s="38"/>
      <c r="F31" s="134" t="s">
        <v>37</v>
      </c>
      <c r="G31" s="34"/>
      <c r="H31" s="2" t="s">
        <v>38</v>
      </c>
      <c r="I31" s="25"/>
      <c r="J31" s="34"/>
      <c r="K31" s="34"/>
      <c r="L31" s="34"/>
      <c r="M31" s="25"/>
      <c r="N31" s="25"/>
      <c r="O31" s="25"/>
      <c r="P31" s="32" t="s">
        <v>39</v>
      </c>
      <c r="Q31" s="39">
        <f>Q29+Q30</f>
        <v>8756.8399999999983</v>
      </c>
    </row>
    <row r="32" spans="2:17" ht="18.75" thickBot="1">
      <c r="C32" s="40" t="s">
        <v>40</v>
      </c>
      <c r="D32" s="41">
        <f>D31*Q31</f>
        <v>0</v>
      </c>
      <c r="E32" s="38"/>
      <c r="F32" s="135"/>
      <c r="G32" s="42"/>
      <c r="H32" s="2" t="s">
        <v>41</v>
      </c>
      <c r="I32" s="25"/>
      <c r="J32" s="25"/>
      <c r="K32" s="25"/>
      <c r="L32" s="25"/>
      <c r="M32" s="25"/>
      <c r="N32" s="25"/>
      <c r="O32" s="25"/>
      <c r="P32" s="32"/>
      <c r="Q32" s="43"/>
    </row>
    <row r="33" spans="3:17" ht="18.75" thickBot="1">
      <c r="C33" s="25"/>
      <c r="D33" s="25"/>
      <c r="E33" s="25"/>
      <c r="F33" s="136"/>
      <c r="G33" s="25"/>
      <c r="H33" s="44" t="s">
        <v>42</v>
      </c>
      <c r="I33" s="25"/>
      <c r="J33" s="25"/>
      <c r="K33" s="25"/>
      <c r="L33" s="25"/>
      <c r="M33" s="25"/>
      <c r="N33" s="25"/>
      <c r="O33" s="25"/>
      <c r="P33" s="32"/>
      <c r="Q33" s="45"/>
    </row>
    <row r="34" spans="3:17" ht="18.75" customHeight="1" thickBot="1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46" t="s">
        <v>56</v>
      </c>
      <c r="O34" s="47"/>
      <c r="P34" s="47"/>
      <c r="Q34" s="48"/>
    </row>
    <row r="35" spans="3:17" ht="28.15" customHeight="1">
      <c r="C35" s="131" t="s">
        <v>44</v>
      </c>
      <c r="D35" s="132"/>
      <c r="E35" s="132"/>
      <c r="F35" s="132"/>
      <c r="G35" s="132"/>
      <c r="H35" s="132"/>
      <c r="I35" s="132"/>
      <c r="J35" s="132"/>
      <c r="K35" s="132"/>
      <c r="L35" s="133"/>
      <c r="M35" s="25"/>
      <c r="N35" s="49"/>
      <c r="O35" s="25"/>
      <c r="P35" s="25"/>
      <c r="Q35" s="50"/>
    </row>
    <row r="36" spans="3:17" ht="18.75" customHeight="1">
      <c r="C36" s="51" t="s">
        <v>45</v>
      </c>
      <c r="D36" s="52"/>
      <c r="E36" s="53" t="s">
        <v>46</v>
      </c>
      <c r="F36" s="103"/>
      <c r="G36" s="104"/>
      <c r="H36" s="105" t="s">
        <v>47</v>
      </c>
      <c r="I36" s="106"/>
      <c r="J36" s="106"/>
      <c r="K36" s="107"/>
      <c r="L36" s="108"/>
      <c r="M36" s="25"/>
      <c r="N36" s="49"/>
      <c r="O36" s="25"/>
      <c r="P36" s="25"/>
      <c r="Q36" s="50"/>
    </row>
    <row r="37" spans="3:17" ht="18.75" customHeight="1" thickBot="1">
      <c r="C37" s="51" t="s">
        <v>48</v>
      </c>
      <c r="D37" s="52"/>
      <c r="E37" s="53" t="s">
        <v>49</v>
      </c>
      <c r="F37" s="103"/>
      <c r="G37" s="104"/>
      <c r="H37" s="109" t="s">
        <v>50</v>
      </c>
      <c r="I37" s="110"/>
      <c r="J37" s="111"/>
      <c r="K37" s="115">
        <f>D36+D37+D38+F36+F37+F38+K36</f>
        <v>0</v>
      </c>
      <c r="L37" s="116"/>
      <c r="M37" s="25"/>
      <c r="N37" s="54" t="s">
        <v>51</v>
      </c>
      <c r="O37" s="29"/>
      <c r="P37" s="29"/>
      <c r="Q37" s="55">
        <f>O5</f>
        <v>46062</v>
      </c>
    </row>
    <row r="38" spans="3:17" ht="27" customHeight="1" thickBot="1">
      <c r="C38" s="56" t="s">
        <v>52</v>
      </c>
      <c r="D38" s="57"/>
      <c r="E38" s="58" t="s">
        <v>53</v>
      </c>
      <c r="F38" s="117"/>
      <c r="G38" s="119"/>
      <c r="H38" s="112"/>
      <c r="I38" s="113"/>
      <c r="J38" s="114"/>
      <c r="K38" s="117"/>
      <c r="L38" s="118"/>
      <c r="M38" s="25"/>
      <c r="N38" s="59" t="s">
        <v>54</v>
      </c>
      <c r="O38" s="60"/>
      <c r="P38" s="60"/>
      <c r="Q38" s="61" t="s">
        <v>55</v>
      </c>
    </row>
    <row r="39" spans="3:17" ht="18"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3:17" ht="18.75" thickBot="1">
      <c r="M40" s="25"/>
      <c r="N40" s="25"/>
      <c r="O40" s="25"/>
      <c r="P40" s="32"/>
      <c r="Q40" s="45"/>
    </row>
    <row r="41" spans="3:17" ht="21" customHeight="1">
      <c r="M41" s="25"/>
      <c r="N41" s="63" t="s">
        <v>43</v>
      </c>
      <c r="O41" s="47"/>
      <c r="P41" s="47"/>
      <c r="Q41" s="48"/>
    </row>
    <row r="42" spans="3:17" ht="35.450000000000003" customHeight="1">
      <c r="M42" s="25"/>
      <c r="N42" s="49"/>
      <c r="O42" s="71"/>
      <c r="P42" s="65"/>
      <c r="Q42" s="50"/>
    </row>
    <row r="43" spans="3:17" ht="21" customHeight="1">
      <c r="M43" s="25"/>
      <c r="N43" s="64" t="s">
        <v>57</v>
      </c>
      <c r="O43" s="65"/>
      <c r="P43" s="72"/>
      <c r="Q43" s="50"/>
    </row>
    <row r="44" spans="3:17" ht="18">
      <c r="M44" s="25"/>
      <c r="N44" s="69" t="s">
        <v>58</v>
      </c>
      <c r="O44" s="68"/>
      <c r="P44" s="72"/>
      <c r="Q44" s="70">
        <f>O5</f>
        <v>46062</v>
      </c>
    </row>
    <row r="45" spans="3:17" ht="6" customHeight="1" thickBot="1">
      <c r="M45" s="25"/>
      <c r="N45" s="66"/>
      <c r="O45" s="67"/>
      <c r="P45" s="72"/>
      <c r="Q45" s="55"/>
    </row>
    <row r="46" spans="3:17" ht="22.15" customHeight="1" thickBot="1">
      <c r="M46" s="25"/>
      <c r="N46" s="59" t="s">
        <v>54</v>
      </c>
      <c r="O46" s="60"/>
      <c r="P46" s="60"/>
      <c r="Q46" s="61" t="s">
        <v>55</v>
      </c>
    </row>
    <row r="47" spans="3:17" ht="18">
      <c r="M47" s="25"/>
      <c r="N47" s="25"/>
      <c r="O47" s="25"/>
      <c r="P47" s="25"/>
      <c r="Q47" s="25"/>
    </row>
  </sheetData>
  <mergeCells count="44">
    <mergeCell ref="M2:Q3"/>
    <mergeCell ref="D4:F4"/>
    <mergeCell ref="M4:N4"/>
    <mergeCell ref="O4:Q4"/>
    <mergeCell ref="M5:N5"/>
    <mergeCell ref="O5:Q5"/>
    <mergeCell ref="M6:N6"/>
    <mergeCell ref="O6:Q6"/>
    <mergeCell ref="D9:K9"/>
    <mergeCell ref="N9:Q9"/>
    <mergeCell ref="D10:K10"/>
    <mergeCell ref="N10:Q10"/>
    <mergeCell ref="E19:M19"/>
    <mergeCell ref="D11:K11"/>
    <mergeCell ref="N11:Q11"/>
    <mergeCell ref="D12:K12"/>
    <mergeCell ref="N12:Q12"/>
    <mergeCell ref="D13:K13"/>
    <mergeCell ref="N13:Q13"/>
    <mergeCell ref="C15:C16"/>
    <mergeCell ref="D15:K16"/>
    <mergeCell ref="M15:M16"/>
    <mergeCell ref="N15:Q16"/>
    <mergeCell ref="E18:M18"/>
    <mergeCell ref="E25:M25"/>
    <mergeCell ref="E26:M26"/>
    <mergeCell ref="E20:M20"/>
    <mergeCell ref="E21:M21"/>
    <mergeCell ref="E22:M22"/>
    <mergeCell ref="E23:M23"/>
    <mergeCell ref="E24:M24"/>
    <mergeCell ref="O26:P26"/>
    <mergeCell ref="C27:L27"/>
    <mergeCell ref="O27:P27"/>
    <mergeCell ref="C28:L29"/>
    <mergeCell ref="C35:L35"/>
    <mergeCell ref="F31:F33"/>
    <mergeCell ref="F36:G36"/>
    <mergeCell ref="H36:J36"/>
    <mergeCell ref="K36:L36"/>
    <mergeCell ref="F37:G37"/>
    <mergeCell ref="H37:J38"/>
    <mergeCell ref="K37:L38"/>
    <mergeCell ref="F38:G38"/>
  </mergeCells>
  <hyperlinks>
    <hyperlink ref="D6" r:id="rId1" xr:uid="{81BC7464-AAB2-489F-8CDC-CEE490BB159E}"/>
    <hyperlink ref="N15" r:id="rId2" xr:uid="{4E08B174-3EB1-481D-B827-77F61D88E179}"/>
    <hyperlink ref="N11" r:id="rId3" xr:uid="{12CE9C58-D4FC-412B-BBC5-FC1320D483E1}"/>
  </hyperlinks>
  <printOptions horizontalCentered="1" verticalCentered="1"/>
  <pageMargins left="0" right="0.70866141732283472" top="0" bottom="0" header="0.31496062992125984" footer="0"/>
  <pageSetup scale="48" orientation="portrait" r:id="rId4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7" name="Check Box 1">
              <controlPr defaultSize="0" autoFill="0" autoLine="0" autoPict="0">
                <anchor moveWithCells="1">
                  <from>
                    <xdr:col>11</xdr:col>
                    <xdr:colOff>200025</xdr:colOff>
                    <xdr:row>30</xdr:row>
                    <xdr:rowOff>47625</xdr:rowOff>
                  </from>
                  <to>
                    <xdr:col>12</xdr:col>
                    <xdr:colOff>419100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8" name="Check Box 2">
              <controlPr defaultSize="0" autoFill="0" autoLine="0" autoPict="0">
                <anchor moveWithCells="1">
                  <from>
                    <xdr:col>11</xdr:col>
                    <xdr:colOff>200025</xdr:colOff>
                    <xdr:row>31</xdr:row>
                    <xdr:rowOff>38100</xdr:rowOff>
                  </from>
                  <to>
                    <xdr:col>12</xdr:col>
                    <xdr:colOff>561975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9" name="Check Box 3">
              <controlPr defaultSize="0" autoFill="0" autoLine="0" autoPict="0">
                <anchor moveWithCells="1">
                  <from>
                    <xdr:col>11</xdr:col>
                    <xdr:colOff>200025</xdr:colOff>
                    <xdr:row>32</xdr:row>
                    <xdr:rowOff>38100</xdr:rowOff>
                  </from>
                  <to>
                    <xdr:col>12</xdr:col>
                    <xdr:colOff>419100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10" name="Check Box 4">
              <controlPr defaultSize="0" autoFill="0" autoLine="0" autoPict="0">
                <anchor moveWithCells="1">
                  <from>
                    <xdr:col>15</xdr:col>
                    <xdr:colOff>590550</xdr:colOff>
                    <xdr:row>41</xdr:row>
                    <xdr:rowOff>438150</xdr:rowOff>
                  </from>
                  <to>
                    <xdr:col>16</xdr:col>
                    <xdr:colOff>371475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1" name="Check Box 5">
              <controlPr defaultSize="0" autoFill="0" autoLine="0" autoPict="0">
                <anchor moveWithCells="1">
                  <from>
                    <xdr:col>15</xdr:col>
                    <xdr:colOff>600075</xdr:colOff>
                    <xdr:row>43</xdr:row>
                    <xdr:rowOff>28575</xdr:rowOff>
                  </from>
                  <to>
                    <xdr:col>16</xdr:col>
                    <xdr:colOff>285750</xdr:colOff>
                    <xdr:row>44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R-184-OC-PARTE 1</vt:lpstr>
      <vt:lpstr>'R-184-OC-PARTE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2025-09-24T15:32:40Z</cp:lastPrinted>
  <dcterms:created xsi:type="dcterms:W3CDTF">2025-07-01T17:10:28Z</dcterms:created>
  <dcterms:modified xsi:type="dcterms:W3CDTF">2026-02-09T13:09:14Z</dcterms:modified>
</cp:coreProperties>
</file>