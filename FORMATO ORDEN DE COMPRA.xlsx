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DBCBB7E-09AA-408A-8DAE-979AD55F648C}" xr6:coauthVersionLast="47" xr6:coauthVersionMax="47" xr10:uidLastSave="{00000000-0000-0000-0000-000000000000}"/>
  <bookViews>
    <workbookView xWindow="-28920" yWindow="2220" windowWidth="29040" windowHeight="15840" xr2:uid="{AC634921-0013-4D1B-985D-7CE69812260F}"/>
  </bookViews>
  <sheets>
    <sheet name="GFAP-ELEC-02-01" sheetId="1" r:id="rId1"/>
  </sheets>
  <definedNames>
    <definedName name="_xlnm.Print_Area" localSheetId="0">'GFAP-ELEC-02-01'!$B$2:$P$55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6" i="1" l="1"/>
  <c r="P53" i="1" s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35" i="1" l="1"/>
  <c r="P37" i="1" s="1"/>
  <c r="P38" i="1" s="1"/>
  <c r="P39" i="1" l="1"/>
  <c r="P40" i="1" s="1"/>
  <c r="D45" i="1" s="1"/>
  <c r="J46" i="1" l="1"/>
</calcChain>
</file>

<file path=xl/sharedStrings.xml><?xml version="1.0" encoding="utf-8"?>
<sst xmlns="http://schemas.openxmlformats.org/spreadsheetml/2006/main" count="60" uniqueCount="57">
  <si>
    <t>UNAUNCUARTO SA DE CV</t>
  </si>
  <si>
    <t xml:space="preserve">ORDEN DE COMPRA </t>
  </si>
  <si>
    <t>UNA1501192S9</t>
  </si>
  <si>
    <t>CARLOS J NADER No.27 ANDADOR 7 LOCAL 1013 SM2, CANCUN QROO</t>
  </si>
  <si>
    <t xml:space="preserve">Folio OC </t>
  </si>
  <si>
    <t>(998) 8-87-97-82</t>
  </si>
  <si>
    <t>Fecha</t>
  </si>
  <si>
    <t>facturas@unauncuarto.com</t>
  </si>
  <si>
    <t xml:space="preserve">Solicitante </t>
  </si>
  <si>
    <t>Proveedor</t>
  </si>
  <si>
    <t xml:space="preserve">Obra </t>
  </si>
  <si>
    <t>Vendedor</t>
  </si>
  <si>
    <t xml:space="preserve">Dirección de entrega </t>
  </si>
  <si>
    <t>Teléfono</t>
  </si>
  <si>
    <t>Ubicación</t>
  </si>
  <si>
    <t xml:space="preserve">Correo </t>
  </si>
  <si>
    <t xml:space="preserve">Recibe </t>
  </si>
  <si>
    <t xml:space="preserve"># Cotización </t>
  </si>
  <si>
    <t xml:space="preserve">Teléfono </t>
  </si>
  <si>
    <t>No. Requisa</t>
  </si>
  <si>
    <t>Correo facturas</t>
  </si>
  <si>
    <t xml:space="preserve">Codigo UUC </t>
  </si>
  <si>
    <t xml:space="preserve">Código proveedor </t>
  </si>
  <si>
    <t xml:space="preserve">T. Entrega </t>
  </si>
  <si>
    <t xml:space="preserve">Descripción </t>
  </si>
  <si>
    <t>Un</t>
  </si>
  <si>
    <t xml:space="preserve">Cantidad </t>
  </si>
  <si>
    <t>P.U.</t>
  </si>
  <si>
    <t xml:space="preserve">Importe </t>
  </si>
  <si>
    <t>SUBTOTAL</t>
  </si>
  <si>
    <t xml:space="preserve">Observaciones y/o comentarios </t>
  </si>
  <si>
    <t xml:space="preserve">% AMORTIZACIÒN </t>
  </si>
  <si>
    <t xml:space="preserve">$ AMORTIZACIÒN ESTA COMPRA </t>
  </si>
  <si>
    <t xml:space="preserve">IMPORTE NETO A PAGAR </t>
  </si>
  <si>
    <t>IVA 16%</t>
  </si>
  <si>
    <t>T.C.</t>
  </si>
  <si>
    <t xml:space="preserve">Tipo de pago </t>
  </si>
  <si>
    <t xml:space="preserve">CONTADO </t>
  </si>
  <si>
    <t>Importe MXN</t>
  </si>
  <si>
    <t>CREDITO</t>
  </si>
  <si>
    <t>ANTICIPADO</t>
  </si>
  <si>
    <t>Autorización</t>
  </si>
  <si>
    <t xml:space="preserve">Pagos parciales según aplique </t>
  </si>
  <si>
    <t>Pago 1</t>
  </si>
  <si>
    <t>Pago 4</t>
  </si>
  <si>
    <t>Pago 7</t>
  </si>
  <si>
    <t>Pago 2</t>
  </si>
  <si>
    <t>Pago 5</t>
  </si>
  <si>
    <t xml:space="preserve">Total pagado </t>
  </si>
  <si>
    <t>Pago 3</t>
  </si>
  <si>
    <t>Pago 6</t>
  </si>
  <si>
    <t>AUTORIZADO POR</t>
  </si>
  <si>
    <t xml:space="preserve">FECHA </t>
  </si>
  <si>
    <t>Ing. Federico Martinez</t>
  </si>
  <si>
    <t>Ing. Ivan Gomez Tagle Avila</t>
  </si>
  <si>
    <t>Ing.Viviana Eleria Lopez</t>
  </si>
  <si>
    <t>TOTAL 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</si>
</sst>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&quot;$&quot;#,##0.00"/>
    <numFmt numFmtId="166" formatCode="0\ .\-"/>
  </numFmts>
  <fonts count="33">
    <font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ptos Narrow"/>
      <family val="2"/>
    </font>
    <font>
      <b/>
      <sz val="14"/>
      <name val="Aptos Narrow"/>
      <family val="2"/>
    </font>
    <font>
      <b/>
      <sz val="16"/>
      <name val="Aptos Narrow"/>
      <family val="2"/>
    </font>
    <font>
      <b/>
      <sz val="22"/>
      <name val="Aptos Narrow"/>
      <family val="2"/>
    </font>
    <font>
      <sz val="12"/>
      <name val="Aptos Narrow"/>
      <family val="2"/>
    </font>
    <font>
      <sz val="9"/>
      <name val="Aptos Narrow"/>
      <family val="2"/>
    </font>
    <font>
      <b/>
      <sz val="14"/>
      <color theme="0"/>
      <name val="Aptos Narrow"/>
      <family val="2"/>
    </font>
    <font>
      <b/>
      <sz val="18"/>
      <name val="Aptos Narrow"/>
      <family val="2"/>
    </font>
    <font>
      <sz val="14"/>
      <name val="Aptos Narrow"/>
      <family val="2"/>
    </font>
    <font>
      <u/>
      <sz val="12"/>
      <color theme="10"/>
      <name val="Aptos Narrow"/>
      <family val="2"/>
    </font>
    <font>
      <b/>
      <sz val="11"/>
      <color theme="0"/>
      <name val="Aptos Narrow"/>
      <family val="2"/>
    </font>
    <font>
      <u/>
      <sz val="14"/>
      <color theme="10"/>
      <name val="Calibri"/>
      <family val="2"/>
      <scheme val="minor"/>
    </font>
    <font>
      <b/>
      <sz val="12"/>
      <color theme="0"/>
      <name val="Aptos Narrow"/>
      <family val="2"/>
    </font>
    <font>
      <sz val="14"/>
      <color rgb="FFFF0000"/>
      <name val="Aptos Narrow"/>
      <family val="2"/>
    </font>
    <font>
      <sz val="8"/>
      <name val="Calibri"/>
      <family val="2"/>
      <scheme val="minor"/>
    </font>
    <font>
      <b/>
      <sz val="10"/>
      <color rgb="FFFF0000"/>
      <name val="Aptos Narrow"/>
      <family val="2"/>
    </font>
    <font>
      <b/>
      <sz val="14"/>
      <color rgb="FFFF0000"/>
      <name val="Aptos Narrow"/>
      <family val="2"/>
    </font>
    <font>
      <b/>
      <sz val="20"/>
      <name val="Aptos Narrow"/>
      <family val="2"/>
    </font>
    <font>
      <sz val="18"/>
      <name val="Aptos Narrow"/>
      <family val="2"/>
    </font>
    <font>
      <b/>
      <sz val="12"/>
      <color theme="1"/>
      <name val="Arial"/>
      <family val="2"/>
    </font>
    <font>
      <sz val="16"/>
      <color theme="1"/>
      <name val="Arial"/>
      <family val="2"/>
    </font>
    <font>
      <sz val="16"/>
      <name val="Aptos Narrow"/>
      <family val="2"/>
    </font>
    <font>
      <b/>
      <sz val="12"/>
      <color rgb="FF0F04EE"/>
      <name val="Arial Narrow"/>
      <family val="2"/>
    </font>
    <font>
      <b/>
      <sz val="14"/>
      <color theme="1"/>
      <name val="Arial"/>
      <family val="2"/>
    </font>
    <font>
      <b/>
      <sz val="11"/>
      <color rgb="FFFF0000"/>
      <name val="Aptos Narrow"/>
      <family val="2"/>
    </font>
    <font>
      <sz val="10"/>
      <name val="Aptos Narrow"/>
      <family val="2"/>
    </font>
    <font>
      <sz val="12"/>
      <color theme="1"/>
      <name val="Arial Narrow"/>
      <family val="2"/>
    </font>
    <font>
      <sz val="12"/>
      <name val="Arial Narrow"/>
      <family val="2"/>
    </font>
    <font>
      <b/>
      <sz val="9"/>
      <color rgb="FFFF0000"/>
      <name val="Arial Narrow"/>
      <family val="2"/>
    </font>
    <font>
      <b/>
      <sz val="11"/>
      <color theme="8" tint="-0.49998474074526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/>
    <xf numFmtId="0" fontId="1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2" borderId="18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9" fillId="2" borderId="20" xfId="0" applyFont="1" applyFill="1" applyBorder="1" applyAlignment="1">
      <alignment vertical="center" wrapText="1"/>
    </xf>
    <xf numFmtId="0" fontId="13" fillId="0" borderId="0" xfId="0" applyFont="1"/>
    <xf numFmtId="0" fontId="3" fillId="0" borderId="0" xfId="0" applyFont="1" applyAlignment="1">
      <alignment wrapText="1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1" fillId="0" borderId="0" xfId="0" applyFont="1"/>
    <xf numFmtId="0" fontId="4" fillId="0" borderId="0" xfId="0" applyFont="1" applyAlignment="1">
      <alignment horizontal="right"/>
    </xf>
    <xf numFmtId="0" fontId="11" fillId="0" borderId="32" xfId="0" applyFont="1" applyBorder="1"/>
    <xf numFmtId="0" fontId="4" fillId="0" borderId="32" xfId="0" applyFont="1" applyBorder="1" applyAlignment="1">
      <alignment horizontal="right"/>
    </xf>
    <xf numFmtId="0" fontId="16" fillId="0" borderId="35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28" xfId="0" applyFont="1" applyBorder="1" applyAlignment="1">
      <alignment vertical="center"/>
    </xf>
    <xf numFmtId="0" fontId="9" fillId="2" borderId="16" xfId="0" applyFont="1" applyFill="1" applyBorder="1"/>
    <xf numFmtId="0" fontId="9" fillId="0" borderId="0" xfId="0" applyFont="1"/>
    <xf numFmtId="0" fontId="9" fillId="2" borderId="22" xfId="0" applyFont="1" applyFill="1" applyBorder="1"/>
    <xf numFmtId="0" fontId="4" fillId="0" borderId="27" xfId="0" applyFont="1" applyBorder="1"/>
    <xf numFmtId="0" fontId="11" fillId="0" borderId="28" xfId="0" applyFont="1" applyBorder="1"/>
    <xf numFmtId="0" fontId="11" fillId="0" borderId="29" xfId="0" applyFont="1" applyBorder="1"/>
    <xf numFmtId="0" fontId="11" fillId="0" borderId="38" xfId="0" applyFont="1" applyBorder="1"/>
    <xf numFmtId="0" fontId="11" fillId="0" borderId="39" xfId="0" applyFont="1" applyBorder="1"/>
    <xf numFmtId="0" fontId="9" fillId="2" borderId="7" xfId="0" applyFont="1" applyFill="1" applyBorder="1"/>
    <xf numFmtId="0" fontId="11" fillId="0" borderId="31" xfId="0" applyFont="1" applyBorder="1"/>
    <xf numFmtId="0" fontId="9" fillId="2" borderId="12" xfId="0" applyFont="1" applyFill="1" applyBorder="1"/>
    <xf numFmtId="0" fontId="4" fillId="0" borderId="34" xfId="0" applyFont="1" applyBorder="1"/>
    <xf numFmtId="0" fontId="11" fillId="0" borderId="35" xfId="0" applyFont="1" applyBorder="1"/>
    <xf numFmtId="0" fontId="4" fillId="0" borderId="36" xfId="0" applyFont="1" applyBorder="1"/>
    <xf numFmtId="14" fontId="11" fillId="0" borderId="33" xfId="0" applyNumberFormat="1" applyFont="1" applyBorder="1"/>
    <xf numFmtId="0" fontId="18" fillId="0" borderId="12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166" fontId="22" fillId="0" borderId="12" xfId="0" applyNumberFormat="1" applyFont="1" applyBorder="1" applyAlignment="1">
      <alignment horizontal="center" vertical="center" wrapText="1"/>
    </xf>
    <xf numFmtId="1" fontId="24" fillId="0" borderId="12" xfId="0" applyNumberFormat="1" applyFont="1" applyBorder="1" applyAlignment="1">
      <alignment horizontal="center" vertical="center"/>
    </xf>
    <xf numFmtId="164" fontId="24" fillId="0" borderId="12" xfId="1" applyFont="1" applyFill="1" applyBorder="1" applyAlignment="1">
      <alignment horizontal="center" vertical="center"/>
    </xf>
    <xf numFmtId="164" fontId="24" fillId="0" borderId="24" xfId="1" applyFont="1" applyFill="1" applyBorder="1" applyAlignment="1">
      <alignment horizontal="center" vertical="center"/>
    </xf>
    <xf numFmtId="0" fontId="4" fillId="0" borderId="27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38" xfId="0" applyFont="1" applyBorder="1" applyAlignment="1">
      <alignment vertical="center"/>
    </xf>
    <xf numFmtId="0" fontId="11" fillId="0" borderId="38" xfId="0" applyFont="1" applyBorder="1" applyAlignment="1">
      <alignment horizontal="left" vertical="center"/>
    </xf>
    <xf numFmtId="0" fontId="11" fillId="0" borderId="0" xfId="0" applyFont="1" applyAlignment="1">
      <alignment vertical="center" wrapText="1"/>
    </xf>
    <xf numFmtId="0" fontId="11" fillId="0" borderId="31" xfId="0" applyFont="1" applyBorder="1" applyAlignment="1">
      <alignment horizontal="left" vertical="center"/>
    </xf>
    <xf numFmtId="0" fontId="11" fillId="0" borderId="32" xfId="0" applyFont="1" applyBorder="1" applyAlignment="1">
      <alignment vertical="center" wrapText="1"/>
    </xf>
    <xf numFmtId="0" fontId="11" fillId="0" borderId="0" xfId="0" applyFont="1" applyFill="1"/>
    <xf numFmtId="0" fontId="21" fillId="0" borderId="0" xfId="0" applyFont="1" applyFill="1"/>
    <xf numFmtId="14" fontId="27" fillId="0" borderId="0" xfId="0" applyNumberFormat="1" applyFont="1" applyAlignment="1">
      <alignment horizontal="center"/>
    </xf>
    <xf numFmtId="0" fontId="16" fillId="0" borderId="5" xfId="0" applyFont="1" applyBorder="1" applyAlignment="1">
      <alignment horizontal="center" vertical="center"/>
    </xf>
    <xf numFmtId="0" fontId="9" fillId="2" borderId="18" xfId="0" applyFont="1" applyFill="1" applyBorder="1" applyAlignment="1">
      <alignment horizontal="left" vertical="center"/>
    </xf>
    <xf numFmtId="0" fontId="9" fillId="2" borderId="20" xfId="0" applyFont="1" applyFill="1" applyBorder="1" applyAlignment="1">
      <alignment horizontal="left" vertical="center"/>
    </xf>
    <xf numFmtId="0" fontId="9" fillId="2" borderId="25" xfId="0" applyFont="1" applyFill="1" applyBorder="1" applyAlignment="1">
      <alignment horizontal="left" vertical="center"/>
    </xf>
    <xf numFmtId="0" fontId="23" fillId="0" borderId="13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23" xfId="0" applyFont="1" applyBorder="1" applyAlignment="1">
      <alignment vertical="center" wrapText="1"/>
    </xf>
    <xf numFmtId="0" fontId="10" fillId="0" borderId="0" xfId="0" applyFont="1" applyFill="1" applyAlignment="1">
      <alignment horizontal="right"/>
    </xf>
    <xf numFmtId="164" fontId="10" fillId="0" borderId="0" xfId="1" applyFont="1" applyFill="1"/>
    <xf numFmtId="164" fontId="5" fillId="0" borderId="0" xfId="1" applyFont="1"/>
    <xf numFmtId="0" fontId="9" fillId="2" borderId="6" xfId="0" applyFont="1" applyFill="1" applyBorder="1" applyAlignment="1">
      <alignment wrapText="1"/>
    </xf>
    <xf numFmtId="0" fontId="9" fillId="2" borderId="11" xfId="0" applyFont="1" applyFill="1" applyBorder="1" applyAlignment="1">
      <alignment wrapText="1"/>
    </xf>
    <xf numFmtId="164" fontId="11" fillId="0" borderId="8" xfId="1" applyFont="1" applyBorder="1" applyAlignment="1">
      <alignment horizontal="center"/>
    </xf>
    <xf numFmtId="164" fontId="11" fillId="0" borderId="44" xfId="1" applyFont="1" applyBorder="1" applyAlignment="1">
      <alignment horizontal="center"/>
    </xf>
    <xf numFmtId="166" fontId="25" fillId="0" borderId="48" xfId="0" applyNumberFormat="1" applyFont="1" applyBorder="1" applyAlignment="1">
      <alignment horizontal="center" vertical="center" wrapText="1"/>
    </xf>
    <xf numFmtId="166" fontId="22" fillId="0" borderId="49" xfId="0" applyNumberFormat="1" applyFont="1" applyBorder="1" applyAlignment="1">
      <alignment horizontal="center" vertical="center"/>
    </xf>
    <xf numFmtId="166" fontId="22" fillId="0" borderId="49" xfId="0" applyNumberFormat="1" applyFont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/>
    </xf>
    <xf numFmtId="1" fontId="24" fillId="0" borderId="49" xfId="0" applyNumberFormat="1" applyFont="1" applyBorder="1" applyAlignment="1">
      <alignment horizontal="center" vertical="center"/>
    </xf>
    <xf numFmtId="164" fontId="24" fillId="0" borderId="49" xfId="1" applyFont="1" applyFill="1" applyBorder="1" applyAlignment="1">
      <alignment horizontal="center" vertical="center"/>
    </xf>
    <xf numFmtId="164" fontId="24" fillId="0" borderId="50" xfId="1" applyFont="1" applyFill="1" applyBorder="1" applyAlignment="1">
      <alignment horizontal="center" vertical="center"/>
    </xf>
    <xf numFmtId="0" fontId="15" fillId="2" borderId="34" xfId="0" applyFont="1" applyFill="1" applyBorder="1" applyAlignment="1">
      <alignment horizontal="center" vertical="center" wrapText="1"/>
    </xf>
    <xf numFmtId="0" fontId="9" fillId="2" borderId="47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 wrapText="1"/>
    </xf>
    <xf numFmtId="0" fontId="30" fillId="0" borderId="49" xfId="0" applyFont="1" applyBorder="1" applyAlignment="1">
      <alignment horizontal="center" vertical="center"/>
    </xf>
    <xf numFmtId="1" fontId="30" fillId="0" borderId="49" xfId="0" applyNumberFormat="1" applyFont="1" applyBorder="1" applyAlignment="1">
      <alignment horizontal="center" vertical="center"/>
    </xf>
    <xf numFmtId="164" fontId="30" fillId="0" borderId="49" xfId="1" applyFont="1" applyFill="1" applyBorder="1" applyAlignment="1">
      <alignment horizontal="center" vertical="center"/>
    </xf>
    <xf numFmtId="164" fontId="30" fillId="0" borderId="50" xfId="1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vertical="center"/>
    </xf>
    <xf numFmtId="0" fontId="9" fillId="2" borderId="21" xfId="0" applyFont="1" applyFill="1" applyBorder="1" applyAlignment="1">
      <alignment vertical="center"/>
    </xf>
    <xf numFmtId="0" fontId="9" fillId="2" borderId="25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6" fontId="31" fillId="0" borderId="49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165" fontId="7" fillId="0" borderId="15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7" fillId="0" borderId="19" xfId="1" applyFont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166" fontId="32" fillId="0" borderId="48" xfId="0" applyNumberFormat="1" applyFont="1" applyBorder="1" applyAlignment="1">
      <alignment horizontal="center" vertical="center" wrapText="1"/>
    </xf>
    <xf numFmtId="166" fontId="32" fillId="0" borderId="46" xfId="0" applyNumberFormat="1" applyFont="1" applyBorder="1" applyAlignment="1">
      <alignment horizontal="center" vertical="center"/>
    </xf>
    <xf numFmtId="164" fontId="4" fillId="0" borderId="0" xfId="1" applyFont="1" applyAlignment="1">
      <alignment horizontal="right" vertical="center"/>
    </xf>
    <xf numFmtId="164" fontId="11" fillId="0" borderId="0" xfId="1" applyFont="1"/>
    <xf numFmtId="164" fontId="11" fillId="0" borderId="32" xfId="1" applyFont="1" applyBorder="1"/>
    <xf numFmtId="0" fontId="29" fillId="0" borderId="8" xfId="0" applyFont="1" applyFill="1" applyBorder="1" applyAlignment="1">
      <alignment horizontal="left" vertical="center" wrapText="1"/>
    </xf>
    <xf numFmtId="0" fontId="29" fillId="0" borderId="9" xfId="0" applyFont="1" applyFill="1" applyBorder="1" applyAlignment="1">
      <alignment horizontal="left" vertical="center" wrapText="1"/>
    </xf>
    <xf numFmtId="0" fontId="29" fillId="0" borderId="19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5" fillId="0" borderId="1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27" xfId="2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14" fontId="11" fillId="0" borderId="8" xfId="0" applyNumberFormat="1" applyFont="1" applyBorder="1" applyAlignment="1">
      <alignment horizontal="center"/>
    </xf>
    <xf numFmtId="14" fontId="11" fillId="0" borderId="9" xfId="0" applyNumberFormat="1" applyFont="1" applyBorder="1" applyAlignment="1">
      <alignment horizontal="center"/>
    </xf>
    <xf numFmtId="14" fontId="11" fillId="0" borderId="10" xfId="0" applyNumberFormat="1" applyFont="1" applyBorder="1" applyAlignment="1">
      <alignment horizontal="center"/>
    </xf>
    <xf numFmtId="0" fontId="11" fillId="0" borderId="2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2" fillId="0" borderId="9" xfId="2" applyBorder="1" applyAlignment="1">
      <alignment horizontal="center" vertical="center" wrapText="1"/>
    </xf>
    <xf numFmtId="0" fontId="2" fillId="0" borderId="10" xfId="2" applyBorder="1" applyAlignment="1">
      <alignment horizontal="center" vertical="center" wrapText="1"/>
    </xf>
    <xf numFmtId="0" fontId="2" fillId="0" borderId="14" xfId="2" applyBorder="1" applyAlignment="1">
      <alignment horizontal="center" vertical="center"/>
    </xf>
    <xf numFmtId="0" fontId="14" fillId="0" borderId="14" xfId="2" applyFont="1" applyBorder="1" applyAlignment="1">
      <alignment horizontal="center" vertical="center"/>
    </xf>
    <xf numFmtId="0" fontId="14" fillId="0" borderId="15" xfId="2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2" fillId="0" borderId="20" xfId="2" applyBorder="1" applyAlignment="1">
      <alignment horizontal="center" vertical="center"/>
    </xf>
    <xf numFmtId="0" fontId="2" fillId="0" borderId="9" xfId="2" applyBorder="1" applyAlignment="1">
      <alignment horizontal="center" vertical="center"/>
    </xf>
    <xf numFmtId="0" fontId="2" fillId="0" borderId="10" xfId="2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29" fillId="0" borderId="8" xfId="0" applyFont="1" applyFill="1" applyBorder="1" applyAlignment="1">
      <alignment horizontal="left" vertical="center"/>
    </xf>
    <xf numFmtId="0" fontId="29" fillId="0" borderId="9" xfId="0" applyFont="1" applyFill="1" applyBorder="1" applyAlignment="1">
      <alignment horizontal="left" vertical="center"/>
    </xf>
    <xf numFmtId="0" fontId="29" fillId="0" borderId="19" xfId="0" applyFont="1" applyFill="1" applyBorder="1" applyAlignment="1">
      <alignment horizontal="left" vertical="center"/>
    </xf>
    <xf numFmtId="0" fontId="15" fillId="2" borderId="40" xfId="0" applyFont="1" applyFill="1" applyBorder="1" applyAlignment="1">
      <alignment horizontal="center" vertical="center" wrapText="1"/>
    </xf>
    <xf numFmtId="0" fontId="15" fillId="2" borderId="41" xfId="0" applyFont="1" applyFill="1" applyBorder="1" applyAlignment="1">
      <alignment horizontal="center" vertical="center" wrapText="1"/>
    </xf>
    <xf numFmtId="0" fontId="15" fillId="2" borderId="42" xfId="0" applyFont="1" applyFill="1" applyBorder="1" applyAlignment="1">
      <alignment horizontal="center" vertical="center" wrapText="1"/>
    </xf>
    <xf numFmtId="0" fontId="15" fillId="2" borderId="44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horizontal="center" vertical="center" wrapText="1"/>
    </xf>
    <xf numFmtId="0" fontId="15" fillId="2" borderId="45" xfId="0" applyFont="1" applyFill="1" applyBorder="1" applyAlignment="1">
      <alignment horizontal="center" vertical="center" wrapText="1"/>
    </xf>
    <xf numFmtId="164" fontId="28" fillId="0" borderId="40" xfId="1" applyFont="1" applyBorder="1" applyAlignment="1">
      <alignment horizontal="center" vertical="center"/>
    </xf>
    <xf numFmtId="164" fontId="28" fillId="0" borderId="43" xfId="1" applyFont="1" applyBorder="1" applyAlignment="1">
      <alignment horizontal="center" vertical="center"/>
    </xf>
    <xf numFmtId="164" fontId="28" fillId="0" borderId="44" xfId="1" applyFont="1" applyBorder="1" applyAlignment="1">
      <alignment horizontal="center" vertical="center"/>
    </xf>
    <xf numFmtId="164" fontId="28" fillId="0" borderId="33" xfId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2" borderId="34" xfId="0" applyFont="1" applyFill="1" applyBorder="1" applyAlignment="1">
      <alignment horizontal="center"/>
    </xf>
    <xf numFmtId="0" fontId="9" fillId="2" borderId="35" xfId="0" applyFont="1" applyFill="1" applyBorder="1" applyAlignment="1">
      <alignment horizontal="center"/>
    </xf>
    <xf numFmtId="0" fontId="9" fillId="2" borderId="36" xfId="0" applyFont="1" applyFill="1" applyBorder="1" applyAlignment="1">
      <alignment horizontal="center"/>
    </xf>
    <xf numFmtId="0" fontId="19" fillId="0" borderId="27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9" fillId="2" borderId="37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164" fontId="11" fillId="0" borderId="9" xfId="1" applyFont="1" applyBorder="1" applyAlignment="1">
      <alignment horizontal="center"/>
    </xf>
    <xf numFmtId="164" fontId="11" fillId="0" borderId="10" xfId="1" applyFont="1" applyBorder="1" applyAlignment="1">
      <alignment horizontal="center"/>
    </xf>
    <xf numFmtId="0" fontId="9" fillId="2" borderId="52" xfId="0" applyFont="1" applyFill="1" applyBorder="1" applyAlignment="1">
      <alignment horizontal="center" vertical="center" wrapText="1"/>
    </xf>
    <xf numFmtId="0" fontId="9" fillId="2" borderId="51" xfId="0" applyFont="1" applyFill="1" applyBorder="1" applyAlignment="1">
      <alignment horizontal="center" vertical="center" wrapText="1"/>
    </xf>
    <xf numFmtId="0" fontId="9" fillId="2" borderId="53" xfId="0" applyFont="1" applyFill="1" applyBorder="1" applyAlignment="1">
      <alignment horizontal="center" vertical="center" wrapText="1"/>
    </xf>
    <xf numFmtId="0" fontId="26" fillId="0" borderId="49" xfId="0" applyFont="1" applyFill="1" applyBorder="1" applyAlignment="1">
      <alignment horizontal="left" vertical="center" wrapText="1"/>
    </xf>
  </cellXfs>
  <cellStyles count="5">
    <cellStyle name="Hipervínculo" xfId="2" builtinId="8"/>
    <cellStyle name="Millares 2" xfId="4" xr:uid="{5A8AFCD7-5805-491D-8DF8-EB15F4451E55}"/>
    <cellStyle name="Moneda" xfId="1" builtinId="4"/>
    <cellStyle name="Moneda 2" xfId="3" xr:uid="{709A004F-902C-43C3-BAF8-7BFFF40EB35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689722</xdr:colOff>
      <xdr:row>1</xdr:row>
      <xdr:rowOff>311525</xdr:rowOff>
    </xdr:from>
    <xdr:ext cx="1148603" cy="1098176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1722" y="749675"/>
          <a:ext cx="1148603" cy="1098176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200025</xdr:colOff>
          <xdr:row>39</xdr:row>
          <xdr:rowOff>47625</xdr:rowOff>
        </xdr:from>
        <xdr:to>
          <xdr:col>11</xdr:col>
          <xdr:colOff>209550</xdr:colOff>
          <xdr:row>40</xdr:row>
          <xdr:rowOff>28575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200025</xdr:colOff>
          <xdr:row>40</xdr:row>
          <xdr:rowOff>38100</xdr:rowOff>
        </xdr:from>
        <xdr:to>
          <xdr:col>11</xdr:col>
          <xdr:colOff>361950</xdr:colOff>
          <xdr:row>40</xdr:row>
          <xdr:rowOff>257175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342900</xdr:colOff>
          <xdr:row>40</xdr:row>
          <xdr:rowOff>209550</xdr:rowOff>
        </xdr:from>
        <xdr:to>
          <xdr:col>11</xdr:col>
          <xdr:colOff>361950</xdr:colOff>
          <xdr:row>42</xdr:row>
          <xdr:rowOff>123825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590550</xdr:colOff>
          <xdr:row>50</xdr:row>
          <xdr:rowOff>438150</xdr:rowOff>
        </xdr:from>
        <xdr:to>
          <xdr:col>15</xdr:col>
          <xdr:colOff>304800</xdr:colOff>
          <xdr:row>52</xdr:row>
          <xdr:rowOff>28575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600075</xdr:colOff>
          <xdr:row>52</xdr:row>
          <xdr:rowOff>28575</xdr:rowOff>
        </xdr:from>
        <xdr:to>
          <xdr:col>15</xdr:col>
          <xdr:colOff>219075</xdr:colOff>
          <xdr:row>53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s@unauncuarto.com" TargetMode="Externa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709D5-76A9-4769-BA2B-B1B079EC3BC7}">
  <sheetPr>
    <pageSetUpPr fitToPage="1"/>
  </sheetPr>
  <dimension ref="B1:S55"/>
  <sheetViews>
    <sheetView showGridLines="0" tabSelected="1" view="pageBreakPreview" topLeftCell="A46" zoomScale="80" zoomScaleNormal="100" zoomScaleSheetLayoutView="80" workbookViewId="0">
      <selection activeCell="T8" sqref="T8"/>
    </sheetView>
  </sheetViews>
  <sheetFormatPr baseColWidth="10" defaultColWidth="11.42578125" defaultRowHeight="14.25"/>
  <cols>
    <col min="1" max="1" width="11.42578125" style="1"/>
    <col min="2" max="2" width="20" style="1" customWidth="1"/>
    <col min="3" max="3" width="17.140625" style="1" customWidth="1"/>
    <col min="4" max="4" width="17" style="90" customWidth="1"/>
    <col min="5" max="5" width="10.7109375" style="1" customWidth="1"/>
    <col min="6" max="6" width="8.7109375" style="1" customWidth="1"/>
    <col min="7" max="7" width="2.28515625" style="1" customWidth="1"/>
    <col min="8" max="8" width="3" style="1" customWidth="1"/>
    <col min="9" max="9" width="4.28515625" style="1" customWidth="1"/>
    <col min="10" max="10" width="3" style="1" customWidth="1"/>
    <col min="11" max="11" width="12.28515625" style="1" customWidth="1"/>
    <col min="12" max="12" width="24.28515625" style="1" customWidth="1"/>
    <col min="13" max="13" width="10.85546875" style="1" customWidth="1"/>
    <col min="14" max="14" width="16.28515625" style="1" customWidth="1"/>
    <col min="15" max="15" width="17.85546875" style="1" customWidth="1"/>
    <col min="16" max="16" width="21.7109375" style="1" customWidth="1"/>
    <col min="17" max="16384" width="11.42578125" style="1"/>
  </cols>
  <sheetData>
    <row r="1" spans="3:19" ht="34.5" customHeight="1"/>
    <row r="2" spans="3:19" ht="24.75" customHeight="1">
      <c r="D2" s="91" t="s">
        <v>0</v>
      </c>
      <c r="E2" s="3"/>
      <c r="F2" s="4"/>
      <c r="G2" s="4"/>
      <c r="H2" s="4"/>
      <c r="I2" s="4"/>
      <c r="J2" s="4"/>
      <c r="K2" s="4"/>
      <c r="L2" s="120" t="s">
        <v>1</v>
      </c>
      <c r="M2" s="120"/>
      <c r="N2" s="120"/>
      <c r="O2" s="120"/>
      <c r="P2" s="120"/>
    </row>
    <row r="3" spans="3:19" ht="27" customHeight="1" thickBot="1">
      <c r="D3" s="87" t="s">
        <v>2</v>
      </c>
      <c r="E3" s="5"/>
      <c r="F3" s="5"/>
      <c r="G3" s="6"/>
      <c r="H3" s="6"/>
      <c r="I3" s="6"/>
      <c r="J3" s="6"/>
      <c r="K3" s="6"/>
      <c r="L3" s="120"/>
      <c r="M3" s="120"/>
      <c r="N3" s="120"/>
      <c r="O3" s="120"/>
      <c r="P3" s="120"/>
    </row>
    <row r="4" spans="3:19" ht="44.25" customHeight="1">
      <c r="D4" s="121" t="s">
        <v>3</v>
      </c>
      <c r="E4" s="121"/>
      <c r="F4" s="121"/>
      <c r="G4" s="6"/>
      <c r="H4" s="6"/>
      <c r="I4" s="6"/>
      <c r="J4" s="6"/>
      <c r="K4" s="6"/>
      <c r="L4" s="122" t="s">
        <v>4</v>
      </c>
      <c r="M4" s="123"/>
      <c r="N4" s="124"/>
      <c r="O4" s="125"/>
      <c r="P4" s="126"/>
    </row>
    <row r="5" spans="3:19" ht="18">
      <c r="D5" s="87" t="s">
        <v>5</v>
      </c>
      <c r="E5" s="7"/>
      <c r="F5" s="7"/>
      <c r="L5" s="127" t="s">
        <v>6</v>
      </c>
      <c r="M5" s="128"/>
      <c r="N5" s="129"/>
      <c r="O5" s="130"/>
      <c r="P5" s="131"/>
    </row>
    <row r="6" spans="3:19" ht="16.5" customHeight="1" thickBot="1">
      <c r="D6" s="92" t="s">
        <v>7</v>
      </c>
      <c r="E6" s="7"/>
      <c r="F6" s="7"/>
      <c r="L6" s="106" t="s">
        <v>8</v>
      </c>
      <c r="M6" s="107"/>
      <c r="N6" s="108"/>
      <c r="O6" s="109"/>
      <c r="P6" s="110"/>
    </row>
    <row r="7" spans="3:19" ht="16.5" customHeight="1">
      <c r="D7" s="92"/>
      <c r="E7" s="7"/>
      <c r="F7" s="7"/>
      <c r="L7" s="8"/>
      <c r="M7" s="8"/>
      <c r="N7" s="8"/>
      <c r="O7" s="9"/>
      <c r="P7" s="9"/>
    </row>
    <row r="8" spans="3:19" ht="15" thickBot="1"/>
    <row r="9" spans="3:19" ht="40.5" customHeight="1">
      <c r="C9" s="56" t="s">
        <v>9</v>
      </c>
      <c r="D9" s="111"/>
      <c r="E9" s="112"/>
      <c r="F9" s="112"/>
      <c r="G9" s="112"/>
      <c r="H9" s="112"/>
      <c r="I9" s="112"/>
      <c r="J9" s="113"/>
      <c r="K9" s="9"/>
      <c r="L9" s="10" t="s">
        <v>10</v>
      </c>
      <c r="M9" s="112"/>
      <c r="N9" s="112"/>
      <c r="O9" s="112"/>
      <c r="P9" s="113"/>
      <c r="S9" s="11"/>
    </row>
    <row r="10" spans="3:19" ht="34.5" customHeight="1">
      <c r="C10" s="57" t="s">
        <v>11</v>
      </c>
      <c r="D10" s="132"/>
      <c r="E10" s="133"/>
      <c r="F10" s="133"/>
      <c r="G10" s="133"/>
      <c r="H10" s="133"/>
      <c r="I10" s="133"/>
      <c r="J10" s="134"/>
      <c r="K10" s="9"/>
      <c r="L10" s="12" t="s">
        <v>12</v>
      </c>
      <c r="M10" s="135"/>
      <c r="N10" s="135"/>
      <c r="O10" s="135"/>
      <c r="P10" s="136"/>
    </row>
    <row r="11" spans="3:19" ht="34.5" customHeight="1">
      <c r="C11" s="57" t="s">
        <v>13</v>
      </c>
      <c r="D11" s="132"/>
      <c r="E11" s="133"/>
      <c r="F11" s="133"/>
      <c r="G11" s="133"/>
      <c r="H11" s="133"/>
      <c r="I11" s="133"/>
      <c r="J11" s="134"/>
      <c r="K11" s="9"/>
      <c r="L11" s="83" t="s">
        <v>14</v>
      </c>
      <c r="M11" s="137"/>
      <c r="N11" s="137"/>
      <c r="O11" s="137"/>
      <c r="P11" s="138"/>
    </row>
    <row r="12" spans="3:19" ht="34.5" customHeight="1">
      <c r="C12" s="57" t="s">
        <v>15</v>
      </c>
      <c r="D12" s="152"/>
      <c r="E12" s="153"/>
      <c r="F12" s="153"/>
      <c r="G12" s="153"/>
      <c r="H12" s="153"/>
      <c r="I12" s="153"/>
      <c r="J12" s="154"/>
      <c r="K12" s="9"/>
      <c r="L12" s="84" t="s">
        <v>16</v>
      </c>
      <c r="M12" s="135"/>
      <c r="N12" s="135"/>
      <c r="O12" s="135"/>
      <c r="P12" s="136"/>
    </row>
    <row r="13" spans="3:19" ht="34.5" customHeight="1" thickBot="1">
      <c r="C13" s="58" t="s">
        <v>17</v>
      </c>
      <c r="D13" s="139"/>
      <c r="E13" s="140"/>
      <c r="F13" s="140"/>
      <c r="G13" s="140"/>
      <c r="H13" s="140"/>
      <c r="I13" s="140"/>
      <c r="J13" s="141"/>
      <c r="K13" s="9"/>
      <c r="L13" s="85" t="s">
        <v>18</v>
      </c>
      <c r="M13" s="142"/>
      <c r="N13" s="142"/>
      <c r="O13" s="142"/>
      <c r="P13" s="143"/>
    </row>
    <row r="14" spans="3:19" ht="15.75" thickBot="1">
      <c r="C14" s="13"/>
      <c r="E14" s="9"/>
      <c r="F14" s="9"/>
      <c r="G14" s="9"/>
      <c r="H14" s="9"/>
      <c r="I14" s="9"/>
      <c r="J14" s="9"/>
      <c r="K14" s="9"/>
      <c r="L14" s="13"/>
      <c r="M14" s="9"/>
      <c r="N14" s="9"/>
      <c r="O14" s="9"/>
      <c r="P14" s="9"/>
    </row>
    <row r="15" spans="3:19" ht="15" customHeight="1">
      <c r="C15" s="155" t="s">
        <v>19</v>
      </c>
      <c r="D15" s="144"/>
      <c r="E15" s="145"/>
      <c r="F15" s="145"/>
      <c r="G15" s="145"/>
      <c r="H15" s="145"/>
      <c r="I15" s="145"/>
      <c r="J15" s="146"/>
      <c r="K15" s="9"/>
      <c r="L15" s="150" t="s">
        <v>20</v>
      </c>
      <c r="M15" s="114"/>
      <c r="N15" s="115"/>
      <c r="O15" s="115"/>
      <c r="P15" s="116"/>
    </row>
    <row r="16" spans="3:19" ht="21.75" customHeight="1" thickBot="1">
      <c r="C16" s="156"/>
      <c r="D16" s="147"/>
      <c r="E16" s="148"/>
      <c r="F16" s="148"/>
      <c r="G16" s="148"/>
      <c r="H16" s="148"/>
      <c r="I16" s="148"/>
      <c r="J16" s="149"/>
      <c r="K16" s="9"/>
      <c r="L16" s="151"/>
      <c r="M16" s="117"/>
      <c r="N16" s="118"/>
      <c r="O16" s="118"/>
      <c r="P16" s="119"/>
    </row>
    <row r="17" spans="2:16" ht="15" thickBot="1"/>
    <row r="18" spans="2:16" s="14" customFormat="1" ht="38.25" customHeight="1" thickBot="1">
      <c r="B18" s="76" t="s">
        <v>21</v>
      </c>
      <c r="C18" s="77" t="s">
        <v>22</v>
      </c>
      <c r="D18" s="77" t="s">
        <v>23</v>
      </c>
      <c r="E18" s="188" t="s">
        <v>24</v>
      </c>
      <c r="F18" s="189"/>
      <c r="G18" s="189"/>
      <c r="H18" s="189"/>
      <c r="I18" s="189"/>
      <c r="J18" s="189"/>
      <c r="K18" s="189"/>
      <c r="L18" s="190"/>
      <c r="M18" s="77" t="s">
        <v>25</v>
      </c>
      <c r="N18" s="77" t="s">
        <v>26</v>
      </c>
      <c r="O18" s="77" t="s">
        <v>27</v>
      </c>
      <c r="P18" s="78" t="s">
        <v>28</v>
      </c>
    </row>
    <row r="19" spans="2:16" ht="24" customHeight="1">
      <c r="B19" s="69"/>
      <c r="C19" s="70"/>
      <c r="D19" s="71"/>
      <c r="E19" s="191"/>
      <c r="F19" s="191"/>
      <c r="G19" s="191"/>
      <c r="H19" s="191"/>
      <c r="I19" s="191"/>
      <c r="J19" s="191"/>
      <c r="K19" s="191"/>
      <c r="L19" s="191"/>
      <c r="M19" s="72"/>
      <c r="N19" s="73"/>
      <c r="O19" s="74"/>
      <c r="P19" s="75"/>
    </row>
    <row r="20" spans="2:16" ht="41.25" customHeight="1">
      <c r="B20" s="98"/>
      <c r="C20" s="99"/>
      <c r="D20" s="88"/>
      <c r="E20" s="157"/>
      <c r="F20" s="158"/>
      <c r="G20" s="158"/>
      <c r="H20" s="158"/>
      <c r="I20" s="158"/>
      <c r="J20" s="158"/>
      <c r="K20" s="158"/>
      <c r="L20" s="159"/>
      <c r="M20" s="79"/>
      <c r="N20" s="80"/>
      <c r="O20" s="81"/>
      <c r="P20" s="82">
        <f>N20*O20</f>
        <v>0</v>
      </c>
    </row>
    <row r="21" spans="2:16" ht="41.25" customHeight="1">
      <c r="B21" s="98"/>
      <c r="C21" s="99"/>
      <c r="D21" s="88"/>
      <c r="E21" s="103"/>
      <c r="F21" s="104"/>
      <c r="G21" s="104"/>
      <c r="H21" s="104"/>
      <c r="I21" s="104"/>
      <c r="J21" s="104"/>
      <c r="K21" s="104"/>
      <c r="L21" s="105"/>
      <c r="M21" s="79"/>
      <c r="N21" s="80"/>
      <c r="O21" s="81"/>
      <c r="P21" s="82">
        <f t="shared" ref="P21:P33" si="0">N21*O21</f>
        <v>0</v>
      </c>
    </row>
    <row r="22" spans="2:16" ht="41.25" customHeight="1">
      <c r="B22" s="98"/>
      <c r="C22" s="99"/>
      <c r="D22" s="88"/>
      <c r="E22" s="103"/>
      <c r="F22" s="104"/>
      <c r="G22" s="104"/>
      <c r="H22" s="104"/>
      <c r="I22" s="104"/>
      <c r="J22" s="104"/>
      <c r="K22" s="104"/>
      <c r="L22" s="105"/>
      <c r="M22" s="79"/>
      <c r="N22" s="80"/>
      <c r="O22" s="81"/>
      <c r="P22" s="82">
        <f t="shared" si="0"/>
        <v>0</v>
      </c>
    </row>
    <row r="23" spans="2:16" ht="41.25" customHeight="1">
      <c r="B23" s="98"/>
      <c r="C23" s="99"/>
      <c r="D23" s="88"/>
      <c r="E23" s="103"/>
      <c r="F23" s="104"/>
      <c r="G23" s="104"/>
      <c r="H23" s="104"/>
      <c r="I23" s="104"/>
      <c r="J23" s="104"/>
      <c r="K23" s="104"/>
      <c r="L23" s="105"/>
      <c r="M23" s="79"/>
      <c r="N23" s="80"/>
      <c r="O23" s="81"/>
      <c r="P23" s="82">
        <f t="shared" si="0"/>
        <v>0</v>
      </c>
    </row>
    <row r="24" spans="2:16" ht="41.25" customHeight="1">
      <c r="B24" s="98"/>
      <c r="C24" s="99"/>
      <c r="D24" s="88"/>
      <c r="E24" s="103"/>
      <c r="F24" s="104"/>
      <c r="G24" s="104"/>
      <c r="H24" s="104"/>
      <c r="I24" s="104"/>
      <c r="J24" s="104"/>
      <c r="K24" s="104"/>
      <c r="L24" s="105"/>
      <c r="M24" s="79"/>
      <c r="N24" s="80"/>
      <c r="O24" s="81"/>
      <c r="P24" s="82">
        <f t="shared" si="0"/>
        <v>0</v>
      </c>
    </row>
    <row r="25" spans="2:16" ht="41.25" customHeight="1">
      <c r="B25" s="98"/>
      <c r="C25" s="99"/>
      <c r="D25" s="88"/>
      <c r="E25" s="103"/>
      <c r="F25" s="104"/>
      <c r="G25" s="104"/>
      <c r="H25" s="104"/>
      <c r="I25" s="104"/>
      <c r="J25" s="104"/>
      <c r="K25" s="104"/>
      <c r="L25" s="105"/>
      <c r="M25" s="79"/>
      <c r="N25" s="80"/>
      <c r="O25" s="81"/>
      <c r="P25" s="82">
        <f t="shared" si="0"/>
        <v>0</v>
      </c>
    </row>
    <row r="26" spans="2:16" ht="41.25" customHeight="1">
      <c r="B26" s="98"/>
      <c r="C26" s="99"/>
      <c r="D26" s="88"/>
      <c r="E26" s="103"/>
      <c r="F26" s="104"/>
      <c r="G26" s="104"/>
      <c r="H26" s="104"/>
      <c r="I26" s="104"/>
      <c r="J26" s="104"/>
      <c r="K26" s="104"/>
      <c r="L26" s="105"/>
      <c r="M26" s="79"/>
      <c r="N26" s="80"/>
      <c r="O26" s="81"/>
      <c r="P26" s="82">
        <f t="shared" si="0"/>
        <v>0</v>
      </c>
    </row>
    <row r="27" spans="2:16" ht="41.25" customHeight="1">
      <c r="B27" s="98"/>
      <c r="C27" s="99"/>
      <c r="D27" s="88"/>
      <c r="E27" s="103"/>
      <c r="F27" s="104"/>
      <c r="G27" s="104"/>
      <c r="H27" s="104"/>
      <c r="I27" s="104"/>
      <c r="J27" s="104"/>
      <c r="K27" s="104"/>
      <c r="L27" s="105"/>
      <c r="M27" s="79"/>
      <c r="N27" s="80"/>
      <c r="O27" s="81"/>
      <c r="P27" s="82">
        <f t="shared" si="0"/>
        <v>0</v>
      </c>
    </row>
    <row r="28" spans="2:16" ht="41.25" customHeight="1">
      <c r="B28" s="98"/>
      <c r="C28" s="99"/>
      <c r="D28" s="88"/>
      <c r="E28" s="103"/>
      <c r="F28" s="104"/>
      <c r="G28" s="104"/>
      <c r="H28" s="104"/>
      <c r="I28" s="104"/>
      <c r="J28" s="104"/>
      <c r="K28" s="104"/>
      <c r="L28" s="105"/>
      <c r="M28" s="79"/>
      <c r="N28" s="80"/>
      <c r="O28" s="81"/>
      <c r="P28" s="82">
        <f t="shared" si="0"/>
        <v>0</v>
      </c>
    </row>
    <row r="29" spans="2:16" ht="41.25" customHeight="1">
      <c r="B29" s="98"/>
      <c r="C29" s="99"/>
      <c r="D29" s="88"/>
      <c r="E29" s="103"/>
      <c r="F29" s="104"/>
      <c r="G29" s="104"/>
      <c r="H29" s="104"/>
      <c r="I29" s="104"/>
      <c r="J29" s="104"/>
      <c r="K29" s="104"/>
      <c r="L29" s="105"/>
      <c r="M29" s="79"/>
      <c r="N29" s="80"/>
      <c r="O29" s="81"/>
      <c r="P29" s="82">
        <f t="shared" si="0"/>
        <v>0</v>
      </c>
    </row>
    <row r="30" spans="2:16" ht="41.25" customHeight="1">
      <c r="B30" s="98"/>
      <c r="C30" s="99"/>
      <c r="D30" s="88"/>
      <c r="E30" s="103"/>
      <c r="F30" s="104"/>
      <c r="G30" s="104"/>
      <c r="H30" s="104"/>
      <c r="I30" s="104"/>
      <c r="J30" s="104"/>
      <c r="K30" s="104"/>
      <c r="L30" s="105"/>
      <c r="M30" s="79"/>
      <c r="N30" s="80"/>
      <c r="O30" s="81"/>
      <c r="P30" s="82">
        <f t="shared" si="0"/>
        <v>0</v>
      </c>
    </row>
    <row r="31" spans="2:16" ht="41.25" customHeight="1">
      <c r="B31" s="98"/>
      <c r="C31" s="99"/>
      <c r="D31" s="88"/>
      <c r="E31" s="103"/>
      <c r="F31" s="104"/>
      <c r="G31" s="104"/>
      <c r="H31" s="104"/>
      <c r="I31" s="104"/>
      <c r="J31" s="104"/>
      <c r="K31" s="104"/>
      <c r="L31" s="105"/>
      <c r="M31" s="79"/>
      <c r="N31" s="80"/>
      <c r="O31" s="81"/>
      <c r="P31" s="82">
        <f t="shared" si="0"/>
        <v>0</v>
      </c>
    </row>
    <row r="32" spans="2:16" ht="41.25" customHeight="1">
      <c r="B32" s="98"/>
      <c r="C32" s="99"/>
      <c r="D32" s="88"/>
      <c r="E32" s="103"/>
      <c r="F32" s="104"/>
      <c r="G32" s="104"/>
      <c r="H32" s="104"/>
      <c r="I32" s="104"/>
      <c r="J32" s="104"/>
      <c r="K32" s="104"/>
      <c r="L32" s="105"/>
      <c r="M32" s="79"/>
      <c r="N32" s="80"/>
      <c r="O32" s="81"/>
      <c r="P32" s="82">
        <f t="shared" si="0"/>
        <v>0</v>
      </c>
    </row>
    <row r="33" spans="2:16" ht="41.25" customHeight="1">
      <c r="B33" s="98"/>
      <c r="C33" s="99"/>
      <c r="D33" s="88"/>
      <c r="E33" s="103"/>
      <c r="F33" s="104"/>
      <c r="G33" s="104"/>
      <c r="H33" s="104"/>
      <c r="I33" s="104"/>
      <c r="J33" s="104"/>
      <c r="K33" s="104"/>
      <c r="L33" s="105"/>
      <c r="M33" s="79"/>
      <c r="N33" s="80"/>
      <c r="O33" s="81"/>
      <c r="P33" s="82">
        <f t="shared" si="0"/>
        <v>0</v>
      </c>
    </row>
    <row r="34" spans="2:16" ht="26.25" customHeight="1" thickBot="1">
      <c r="B34" s="40"/>
      <c r="C34" s="39"/>
      <c r="D34" s="41"/>
      <c r="E34" s="59"/>
      <c r="F34" s="60"/>
      <c r="G34" s="60"/>
      <c r="H34" s="60"/>
      <c r="I34" s="60"/>
      <c r="J34" s="60"/>
      <c r="K34" s="60"/>
      <c r="L34" s="61"/>
      <c r="M34" s="42"/>
      <c r="N34" s="42"/>
      <c r="O34" s="43"/>
      <c r="P34" s="44"/>
    </row>
    <row r="35" spans="2:16" ht="18.75" thickBot="1">
      <c r="C35" s="15"/>
      <c r="D35" s="86"/>
      <c r="E35" s="170"/>
      <c r="F35" s="170"/>
      <c r="G35" s="170"/>
      <c r="H35" s="170"/>
      <c r="I35" s="170"/>
      <c r="J35" s="170"/>
      <c r="K35" s="170"/>
      <c r="L35" s="170"/>
      <c r="M35" s="15"/>
      <c r="N35" s="15"/>
      <c r="O35" s="16" t="s">
        <v>29</v>
      </c>
      <c r="P35" s="100">
        <f>SUM(P19:P34)</f>
        <v>0</v>
      </c>
    </row>
    <row r="36" spans="2:16" ht="18.75" thickBot="1">
      <c r="C36" s="171" t="s">
        <v>30</v>
      </c>
      <c r="D36" s="172"/>
      <c r="E36" s="172"/>
      <c r="F36" s="172"/>
      <c r="G36" s="172"/>
      <c r="H36" s="172"/>
      <c r="I36" s="172"/>
      <c r="J36" s="172"/>
      <c r="K36" s="173"/>
      <c r="L36" s="17"/>
      <c r="M36" s="17"/>
      <c r="N36" s="17"/>
      <c r="O36" s="18" t="s">
        <v>31</v>
      </c>
      <c r="P36" s="101"/>
    </row>
    <row r="37" spans="2:16" ht="18.75" customHeight="1" thickBot="1">
      <c r="C37" s="174"/>
      <c r="D37" s="175"/>
      <c r="E37" s="175"/>
      <c r="F37" s="175"/>
      <c r="G37" s="175"/>
      <c r="H37" s="175"/>
      <c r="I37" s="175"/>
      <c r="J37" s="175"/>
      <c r="K37" s="176"/>
      <c r="L37" s="17"/>
      <c r="M37" s="19"/>
      <c r="N37" s="19"/>
      <c r="O37" s="20" t="s">
        <v>32</v>
      </c>
      <c r="P37" s="102">
        <f>P35*P36</f>
        <v>0</v>
      </c>
    </row>
    <row r="38" spans="2:16" ht="23.45" customHeight="1" thickBot="1">
      <c r="C38" s="177"/>
      <c r="D38" s="178"/>
      <c r="E38" s="178"/>
      <c r="F38" s="178"/>
      <c r="G38" s="178"/>
      <c r="H38" s="178"/>
      <c r="I38" s="178"/>
      <c r="J38" s="178"/>
      <c r="K38" s="179"/>
      <c r="L38" s="17"/>
      <c r="M38" s="17"/>
      <c r="N38" s="17"/>
      <c r="O38" s="18" t="s">
        <v>33</v>
      </c>
      <c r="P38" s="101">
        <f>P35-P37</f>
        <v>0</v>
      </c>
    </row>
    <row r="39" spans="2:16" ht="23.45" customHeight="1" thickBot="1">
      <c r="C39" s="21"/>
      <c r="D39" s="89"/>
      <c r="E39" s="22"/>
      <c r="F39" s="22"/>
      <c r="G39" s="22"/>
      <c r="H39" s="22"/>
      <c r="I39" s="22"/>
      <c r="J39" s="22"/>
      <c r="K39" s="23"/>
      <c r="L39" s="17"/>
      <c r="M39" s="17"/>
      <c r="N39" s="17"/>
      <c r="O39" s="20" t="s">
        <v>34</v>
      </c>
      <c r="P39" s="102">
        <f>P38*0.16</f>
        <v>0</v>
      </c>
    </row>
    <row r="40" spans="2:16" ht="20.25">
      <c r="C40" s="24" t="s">
        <v>35</v>
      </c>
      <c r="D40" s="55"/>
      <c r="E40" s="54"/>
      <c r="F40" s="150" t="s">
        <v>36</v>
      </c>
      <c r="G40" s="2" t="s">
        <v>37</v>
      </c>
      <c r="H40" s="17"/>
      <c r="I40" s="22"/>
      <c r="J40" s="22"/>
      <c r="K40" s="22"/>
      <c r="L40" s="17"/>
      <c r="M40" s="17"/>
      <c r="N40" s="17"/>
      <c r="O40" s="18" t="s">
        <v>56</v>
      </c>
      <c r="P40" s="64">
        <f>P38+P39</f>
        <v>0</v>
      </c>
    </row>
    <row r="41" spans="2:16" ht="24" thickBot="1">
      <c r="C41" s="26" t="s">
        <v>38</v>
      </c>
      <c r="D41" s="93"/>
      <c r="E41" s="25"/>
      <c r="F41" s="180"/>
      <c r="G41" s="2" t="s">
        <v>39</v>
      </c>
      <c r="H41" s="17"/>
      <c r="I41" s="17"/>
      <c r="J41" s="17"/>
      <c r="K41" s="17"/>
      <c r="L41" s="17"/>
      <c r="M41" s="52"/>
      <c r="N41" s="53"/>
      <c r="O41" s="62"/>
      <c r="P41" s="63"/>
    </row>
    <row r="42" spans="2:16" ht="24" thickBot="1">
      <c r="C42" s="17"/>
      <c r="D42" s="94"/>
      <c r="E42" s="17"/>
      <c r="F42" s="151"/>
      <c r="G42" s="2" t="s">
        <v>40</v>
      </c>
      <c r="H42" s="17"/>
      <c r="I42" s="17"/>
      <c r="J42" s="17"/>
      <c r="K42" s="17"/>
      <c r="L42" s="17"/>
      <c r="M42" s="52"/>
      <c r="N42" s="53"/>
      <c r="O42" s="62"/>
      <c r="P42" s="63"/>
    </row>
    <row r="43" spans="2:16" ht="18.75" customHeight="1" thickBot="1">
      <c r="C43" s="17"/>
      <c r="D43" s="94"/>
      <c r="E43" s="17"/>
      <c r="F43" s="17"/>
      <c r="G43" s="17"/>
      <c r="H43" s="17"/>
      <c r="I43" s="17"/>
      <c r="J43" s="17"/>
      <c r="K43" s="17"/>
      <c r="L43" s="17"/>
      <c r="M43" s="27" t="s">
        <v>41</v>
      </c>
      <c r="N43" s="28"/>
      <c r="O43" s="28"/>
      <c r="P43" s="29"/>
    </row>
    <row r="44" spans="2:16" ht="18.75" customHeight="1">
      <c r="C44" s="181" t="s">
        <v>42</v>
      </c>
      <c r="D44" s="182"/>
      <c r="E44" s="182"/>
      <c r="F44" s="182"/>
      <c r="G44" s="182"/>
      <c r="H44" s="182"/>
      <c r="I44" s="182"/>
      <c r="J44" s="182"/>
      <c r="K44" s="183"/>
      <c r="L44" s="17"/>
      <c r="M44" s="30"/>
      <c r="N44" s="17"/>
      <c r="O44" s="17"/>
      <c r="P44" s="31"/>
    </row>
    <row r="45" spans="2:16" ht="18.75" customHeight="1">
      <c r="C45" s="65" t="s">
        <v>43</v>
      </c>
      <c r="D45" s="95">
        <f>P41</f>
        <v>0</v>
      </c>
      <c r="E45" s="32" t="s">
        <v>44</v>
      </c>
      <c r="F45" s="67"/>
      <c r="G45" s="184" t="s">
        <v>45</v>
      </c>
      <c r="H45" s="185"/>
      <c r="I45" s="185"/>
      <c r="J45" s="186"/>
      <c r="K45" s="187"/>
      <c r="L45" s="17"/>
      <c r="M45" s="30"/>
      <c r="N45" s="17"/>
      <c r="O45" s="17"/>
      <c r="P45" s="31"/>
    </row>
    <row r="46" spans="2:16" ht="18.75" customHeight="1" thickBot="1">
      <c r="C46" s="65" t="s">
        <v>46</v>
      </c>
      <c r="D46" s="96"/>
      <c r="E46" s="32" t="s">
        <v>47</v>
      </c>
      <c r="F46" s="67"/>
      <c r="G46" s="160" t="s">
        <v>48</v>
      </c>
      <c r="H46" s="161"/>
      <c r="I46" s="162"/>
      <c r="J46" s="166">
        <f>D45+D46+D47+F45+F46+F47+J45</f>
        <v>0</v>
      </c>
      <c r="K46" s="167"/>
      <c r="L46" s="17"/>
      <c r="M46" s="33" t="s">
        <v>53</v>
      </c>
      <c r="N46" s="19"/>
      <c r="O46" s="19"/>
      <c r="P46" s="38">
        <f>N5</f>
        <v>0</v>
      </c>
    </row>
    <row r="47" spans="2:16" ht="27" customHeight="1" thickBot="1">
      <c r="C47" s="66" t="s">
        <v>49</v>
      </c>
      <c r="D47" s="97"/>
      <c r="E47" s="34" t="s">
        <v>50</v>
      </c>
      <c r="F47" s="68"/>
      <c r="G47" s="163"/>
      <c r="H47" s="164"/>
      <c r="I47" s="165"/>
      <c r="J47" s="168"/>
      <c r="K47" s="169"/>
      <c r="L47" s="17"/>
      <c r="M47" s="35" t="s">
        <v>51</v>
      </c>
      <c r="N47" s="36"/>
      <c r="O47" s="36"/>
      <c r="P47" s="37" t="s">
        <v>52</v>
      </c>
    </row>
    <row r="48" spans="2:16" ht="18">
      <c r="C48" s="17"/>
      <c r="D48" s="94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</row>
    <row r="49" spans="13:16" ht="15" thickBot="1"/>
    <row r="50" spans="13:16" ht="18">
      <c r="M50" s="45" t="s">
        <v>41</v>
      </c>
      <c r="N50" s="28"/>
      <c r="O50" s="28"/>
      <c r="P50" s="29"/>
    </row>
    <row r="51" spans="13:16" ht="18">
      <c r="M51" s="30"/>
      <c r="N51" s="17"/>
      <c r="O51" s="46"/>
      <c r="P51" s="31"/>
    </row>
    <row r="52" spans="13:16" ht="18">
      <c r="M52" s="47" t="s">
        <v>54</v>
      </c>
      <c r="N52" s="46"/>
      <c r="O52" s="22"/>
      <c r="P52" s="31"/>
    </row>
    <row r="53" spans="13:16" ht="18.75" thickBot="1">
      <c r="M53" s="48" t="s">
        <v>55</v>
      </c>
      <c r="N53" s="49"/>
      <c r="O53" s="22"/>
      <c r="P53" s="38">
        <f>P46</f>
        <v>0</v>
      </c>
    </row>
    <row r="54" spans="13:16" ht="18.75" thickBot="1">
      <c r="M54" s="50"/>
      <c r="N54" s="51"/>
      <c r="O54" s="22"/>
      <c r="P54" s="38"/>
    </row>
    <row r="55" spans="13:16" ht="18.75" thickBot="1">
      <c r="M55" s="35" t="s">
        <v>51</v>
      </c>
      <c r="N55" s="36"/>
      <c r="O55" s="36"/>
      <c r="P55" s="37" t="s">
        <v>52</v>
      </c>
    </row>
  </sheetData>
  <mergeCells count="47">
    <mergeCell ref="C15:C16"/>
    <mergeCell ref="E20:L20"/>
    <mergeCell ref="G46:I47"/>
    <mergeCell ref="J46:K47"/>
    <mergeCell ref="E35:L35"/>
    <mergeCell ref="C36:K36"/>
    <mergeCell ref="C37:K38"/>
    <mergeCell ref="F40:F42"/>
    <mergeCell ref="C44:K44"/>
    <mergeCell ref="G45:I45"/>
    <mergeCell ref="J45:K45"/>
    <mergeCell ref="E21:L21"/>
    <mergeCell ref="E18:L18"/>
    <mergeCell ref="E19:L19"/>
    <mergeCell ref="E22:L22"/>
    <mergeCell ref="E23:L23"/>
    <mergeCell ref="M12:P12"/>
    <mergeCell ref="M13:P13"/>
    <mergeCell ref="D15:J16"/>
    <mergeCell ref="L15:L16"/>
    <mergeCell ref="D12:J12"/>
    <mergeCell ref="L6:M6"/>
    <mergeCell ref="N6:P6"/>
    <mergeCell ref="D9:J9"/>
    <mergeCell ref="M15:P16"/>
    <mergeCell ref="L2:P3"/>
    <mergeCell ref="D4:F4"/>
    <mergeCell ref="L4:M4"/>
    <mergeCell ref="N4:P4"/>
    <mergeCell ref="L5:M5"/>
    <mergeCell ref="N5:P5"/>
    <mergeCell ref="M9:P9"/>
    <mergeCell ref="D10:J10"/>
    <mergeCell ref="M10:P10"/>
    <mergeCell ref="D11:J11"/>
    <mergeCell ref="M11:P11"/>
    <mergeCell ref="D13:J13"/>
    <mergeCell ref="E24:L24"/>
    <mergeCell ref="E25:L25"/>
    <mergeCell ref="E26:L26"/>
    <mergeCell ref="E27:L27"/>
    <mergeCell ref="E28:L28"/>
    <mergeCell ref="E29:L29"/>
    <mergeCell ref="E30:L30"/>
    <mergeCell ref="E31:L31"/>
    <mergeCell ref="E32:L32"/>
    <mergeCell ref="E33:L33"/>
  </mergeCells>
  <phoneticPr fontId="17" type="noConversion"/>
  <hyperlinks>
    <hyperlink ref="D6" r:id="rId1" xr:uid="{B3054771-E467-42FE-9516-B78119DD05F8}"/>
  </hyperlinks>
  <printOptions horizontalCentered="1" verticalCentered="1"/>
  <pageMargins left="0.7" right="0.7" top="0.75" bottom="0.75" header="0.3" footer="0.3"/>
  <pageSetup scale="47" fitToHeight="0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Check Box 1">
              <controlPr defaultSize="0" autoFill="0" autoLine="0" autoPict="0">
                <anchor moveWithCells="1">
                  <from>
                    <xdr:col>10</xdr:col>
                    <xdr:colOff>200025</xdr:colOff>
                    <xdr:row>39</xdr:row>
                    <xdr:rowOff>47625</xdr:rowOff>
                  </from>
                  <to>
                    <xdr:col>11</xdr:col>
                    <xdr:colOff>209550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6" name="Check Box 2">
              <controlPr defaultSize="0" autoFill="0" autoLine="0" autoPict="0">
                <anchor moveWithCells="1">
                  <from>
                    <xdr:col>10</xdr:col>
                    <xdr:colOff>200025</xdr:colOff>
                    <xdr:row>40</xdr:row>
                    <xdr:rowOff>38100</xdr:rowOff>
                  </from>
                  <to>
                    <xdr:col>11</xdr:col>
                    <xdr:colOff>361950</xdr:colOff>
                    <xdr:row>40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7" name="Check Box 3">
              <controlPr defaultSize="0" autoFill="0" autoLine="0" autoPict="0">
                <anchor moveWithCells="1">
                  <from>
                    <xdr:col>10</xdr:col>
                    <xdr:colOff>342900</xdr:colOff>
                    <xdr:row>40</xdr:row>
                    <xdr:rowOff>209550</xdr:rowOff>
                  </from>
                  <to>
                    <xdr:col>11</xdr:col>
                    <xdr:colOff>361950</xdr:colOff>
                    <xdr:row>42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8" name="Check Box 4">
              <controlPr defaultSize="0" autoFill="0" autoLine="0" autoPict="0">
                <anchor moveWithCells="1">
                  <from>
                    <xdr:col>14</xdr:col>
                    <xdr:colOff>590550</xdr:colOff>
                    <xdr:row>50</xdr:row>
                    <xdr:rowOff>438150</xdr:rowOff>
                  </from>
                  <to>
                    <xdr:col>15</xdr:col>
                    <xdr:colOff>304800</xdr:colOff>
                    <xdr:row>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9" name="Check Box 5">
              <controlPr defaultSize="0" autoFill="0" autoLine="0" autoPict="0">
                <anchor moveWithCells="1">
                  <from>
                    <xdr:col>14</xdr:col>
                    <xdr:colOff>600075</xdr:colOff>
                    <xdr:row>52</xdr:row>
                    <xdr:rowOff>28575</xdr:rowOff>
                  </from>
                  <to>
                    <xdr:col>15</xdr:col>
                    <xdr:colOff>219075</xdr:colOff>
                    <xdr:row>53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GFAP-ELEC-02-01</vt:lpstr>
      <vt:lpstr>'GFAP-ELEC-02-01'!Área_de_impresión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Alan Palomino Rueda</cp:lastModifiedBy>
  <cp:lastPrinted>2026-01-28T21:22:31Z</cp:lastPrinted>
  <dcterms:created xsi:type="dcterms:W3CDTF">2024-07-25T14:33:38Z</dcterms:created>
  <dcterms:modified xsi:type="dcterms:W3CDTF">2026-02-17T14:13:17Z</dcterms:modified>
</cp:coreProperties>
</file>