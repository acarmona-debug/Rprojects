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 COMPRAS UNAUNCUARTO\1.REQUISAS\1.OBRAS\1.VELMARI\REQ #328 C40 Y CPVC\"/>
    </mc:Choice>
  </mc:AlternateContent>
  <xr:revisionPtr revIDLastSave="0" documentId="13_ncr:1_{80B759F5-5FA6-4258-884D-51AEF5377B69}" xr6:coauthVersionLast="47" xr6:coauthVersionMax="47" xr10:uidLastSave="{00000000-0000-0000-0000-000000000000}"/>
  <bookViews>
    <workbookView xWindow="-120" yWindow="-120" windowWidth="29040" windowHeight="15720" xr2:uid="{27852CDD-36B1-4C74-A63B-94614D53F106}"/>
  </bookViews>
  <sheets>
    <sheet name="R-176-OC-" sheetId="1" r:id="rId1"/>
  </sheets>
  <definedNames>
    <definedName name="_xlnm.Print_Area" localSheetId="0">'R-176-OC-'!$B$2:$Q$106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6" i="1" l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83" i="1"/>
  <c r="Q82" i="1"/>
  <c r="Q81" i="1"/>
  <c r="Q80" i="1"/>
  <c r="Q79" i="1"/>
  <c r="Q78" i="1"/>
  <c r="Q84" i="1"/>
  <c r="Q77" i="1"/>
  <c r="Q76" i="1"/>
  <c r="Q75" i="1"/>
  <c r="Q74" i="1"/>
  <c r="Q73" i="1"/>
  <c r="Q72" i="1"/>
  <c r="Q51" i="1"/>
  <c r="Q50" i="1"/>
  <c r="Q49" i="1"/>
  <c r="Q48" i="1"/>
  <c r="Q47" i="1"/>
  <c r="Q46" i="1"/>
  <c r="Q45" i="1"/>
  <c r="Q44" i="1"/>
  <c r="Q43" i="1"/>
  <c r="Q4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104" i="1" l="1"/>
  <c r="Q97" i="1" l="1"/>
  <c r="K97" i="1"/>
  <c r="Q88" i="1" l="1"/>
  <c r="Q89" i="1" s="1"/>
  <c r="Q90" i="1" l="1"/>
  <c r="Q91" i="1" s="1"/>
  <c r="D92" i="1" s="1"/>
</calcChain>
</file>

<file path=xl/sharedStrings.xml><?xml version="1.0" encoding="utf-8"?>
<sst xmlns="http://schemas.openxmlformats.org/spreadsheetml/2006/main" count="339" uniqueCount="199">
  <si>
    <t>UNAUNCUARTO SA DE CV</t>
  </si>
  <si>
    <t xml:space="preserve">ORDEN DE COMPRA </t>
  </si>
  <si>
    <t>UNA1501192S9</t>
  </si>
  <si>
    <t>CARLOS J NADER No.27 ANDADOR 7 LOCAL 1013 SM2, CANCUN QROO</t>
  </si>
  <si>
    <t xml:space="preserve">Folio OC </t>
  </si>
  <si>
    <t>(998) 8-87-97-82</t>
  </si>
  <si>
    <t>Fecha</t>
  </si>
  <si>
    <t>facturas@unauncuarto.com</t>
  </si>
  <si>
    <t xml:space="preserve">Solicitante </t>
  </si>
  <si>
    <t>Proveedor</t>
  </si>
  <si>
    <t xml:space="preserve">Obra </t>
  </si>
  <si>
    <t>Vendedor</t>
  </si>
  <si>
    <t xml:space="preserve">Dirección de entrega </t>
  </si>
  <si>
    <t>Teléfono</t>
  </si>
  <si>
    <t>Ubicación</t>
  </si>
  <si>
    <t xml:space="preserve">Correo </t>
  </si>
  <si>
    <t xml:space="preserve">Recibe </t>
  </si>
  <si>
    <t xml:space="preserve"># Cotización </t>
  </si>
  <si>
    <t xml:space="preserve">Teléfono </t>
  </si>
  <si>
    <t>No. Requisa</t>
  </si>
  <si>
    <t>Correo facturas</t>
  </si>
  <si>
    <t xml:space="preserve">Codigo UUC </t>
  </si>
  <si>
    <t xml:space="preserve">Código proveedor </t>
  </si>
  <si>
    <t xml:space="preserve">T. Entrega </t>
  </si>
  <si>
    <t xml:space="preserve">Descripción </t>
  </si>
  <si>
    <t>Un</t>
  </si>
  <si>
    <t xml:space="preserve">Cantidad </t>
  </si>
  <si>
    <t>P.U.</t>
  </si>
  <si>
    <t xml:space="preserve">Importe </t>
  </si>
  <si>
    <t>pza</t>
  </si>
  <si>
    <t xml:space="preserve">Observaciones y/o comentarios </t>
  </si>
  <si>
    <t>%AMORTIZACION</t>
  </si>
  <si>
    <t xml:space="preserve">$ AMORTIZACIÒN ESTA COMPRA </t>
  </si>
  <si>
    <t xml:space="preserve">IMPORTE NETO A PAGAR </t>
  </si>
  <si>
    <t>IVA 16%</t>
  </si>
  <si>
    <t>T.C.</t>
  </si>
  <si>
    <t xml:space="preserve">Tipo de pago </t>
  </si>
  <si>
    <t xml:space="preserve">CONTADO </t>
  </si>
  <si>
    <t>TOTAL MXN</t>
  </si>
  <si>
    <t>Importe MXN</t>
  </si>
  <si>
    <t>CREDITO</t>
  </si>
  <si>
    <t>ANTICIPADO</t>
  </si>
  <si>
    <t>Autorización</t>
  </si>
  <si>
    <t xml:space="preserve">Pagos parciales según aplique </t>
  </si>
  <si>
    <t>Pago 1</t>
  </si>
  <si>
    <t>Pago 4</t>
  </si>
  <si>
    <t>Pago 7</t>
  </si>
  <si>
    <t>Pago 2</t>
  </si>
  <si>
    <t>Pago 5</t>
  </si>
  <si>
    <t xml:space="preserve">Total pagado </t>
  </si>
  <si>
    <t>Ing. Federico Martinez</t>
  </si>
  <si>
    <t>Pago 3</t>
  </si>
  <si>
    <t>Pago 6</t>
  </si>
  <si>
    <t>AUTORIZADO POR</t>
  </si>
  <si>
    <t xml:space="preserve">FECHA </t>
  </si>
  <si>
    <t xml:space="preserve">Autorización </t>
  </si>
  <si>
    <t>Ing. Ivan Gomez Tagle Avila</t>
  </si>
  <si>
    <t>Ing.Viviana Eleria Lopez</t>
  </si>
  <si>
    <t xml:space="preserve">VELLMARI </t>
  </si>
  <si>
    <t>Calle Puerto Marqués, Zona Hotelera, Puerto Cancún, Zona Hotelera Cancún, Q.R.</t>
  </si>
  <si>
    <t>https://maps.app.goo.gl/JTxxKnSdUs8we2Zz6</t>
  </si>
  <si>
    <t>EMPRESA MEXICANA DE MANUFACTURAS SA DE CV</t>
  </si>
  <si>
    <t>CINTHIA ROJAS</t>
  </si>
  <si>
    <t>crojass@emmsa.com</t>
  </si>
  <si>
    <t>JAIRO BERNARDO</t>
  </si>
  <si>
    <t>998 403 6184</t>
  </si>
  <si>
    <t xml:space="preserve">BERENICE ARIAS </t>
  </si>
  <si>
    <t xml:space="preserve"> </t>
  </si>
  <si>
    <t>PZA</t>
  </si>
  <si>
    <t xml:space="preserve">ADICIONAL </t>
  </si>
  <si>
    <t>VLM-PVC-328</t>
  </si>
  <si>
    <t>#328</t>
  </si>
  <si>
    <t>100-P40-C050</t>
  </si>
  <si>
    <t>100-P40-C038</t>
  </si>
  <si>
    <t>100-P40-C032</t>
  </si>
  <si>
    <t>100-P40-C025</t>
  </si>
  <si>
    <t>100-P40-C019</t>
  </si>
  <si>
    <t>100-P40-C013</t>
  </si>
  <si>
    <t>100-CTS-C025</t>
  </si>
  <si>
    <t>100-CTS-C019</t>
  </si>
  <si>
    <t>100-CTS-C013</t>
  </si>
  <si>
    <t>107-P40-9050</t>
  </si>
  <si>
    <t>107-P40-9038</t>
  </si>
  <si>
    <t>107-P40-9032</t>
  </si>
  <si>
    <t>107-P40-9025</t>
  </si>
  <si>
    <t>107-P40-9019</t>
  </si>
  <si>
    <t>107-P40-9013</t>
  </si>
  <si>
    <t>107-P40-4050</t>
  </si>
  <si>
    <t>107-P40-4038</t>
  </si>
  <si>
    <t>107-P40-4025</t>
  </si>
  <si>
    <t>107-P40-4019</t>
  </si>
  <si>
    <t>107-P40-4013</t>
  </si>
  <si>
    <t>102-P40-M050</t>
  </si>
  <si>
    <t>102-P40-M038</t>
  </si>
  <si>
    <t>102-P40-M032</t>
  </si>
  <si>
    <t>102-P40-M019</t>
  </si>
  <si>
    <t>107-CTS-9025</t>
  </si>
  <si>
    <t>107-CTS-9019</t>
  </si>
  <si>
    <t>107-CTS-9013</t>
  </si>
  <si>
    <t>102-CTS-M013</t>
  </si>
  <si>
    <t>125-P40-C038</t>
  </si>
  <si>
    <t>125-P40-C032</t>
  </si>
  <si>
    <t>125-P40-C025</t>
  </si>
  <si>
    <t>125-P40-C019</t>
  </si>
  <si>
    <t>125-P40-C013</t>
  </si>
  <si>
    <t>125-CTS-C025</t>
  </si>
  <si>
    <t>125-CTS-C019</t>
  </si>
  <si>
    <t>125-CTS-C013</t>
  </si>
  <si>
    <t>118-P40-2519</t>
  </si>
  <si>
    <t>118-P40-5025</t>
  </si>
  <si>
    <t>118-P40-3213</t>
  </si>
  <si>
    <t>118-P40-2513</t>
  </si>
  <si>
    <t>118-P40-1913</t>
  </si>
  <si>
    <t>118-CTS-2519</t>
  </si>
  <si>
    <t>118-CTS-1913</t>
  </si>
  <si>
    <t>109-P40-C100</t>
  </si>
  <si>
    <t>109-P40-C050</t>
  </si>
  <si>
    <t>109-P40-C038</t>
  </si>
  <si>
    <t>109-P40-C032</t>
  </si>
  <si>
    <t>109-P40-C025</t>
  </si>
  <si>
    <t>109-P40-C019</t>
  </si>
  <si>
    <t>109-CTS-C025</t>
  </si>
  <si>
    <t>109-CTS-C019</t>
  </si>
  <si>
    <t>109-CTS-C013</t>
  </si>
  <si>
    <t>124-P40-RM38</t>
  </si>
  <si>
    <t>124-P40-C0100</t>
  </si>
  <si>
    <t>124-P40-C050</t>
  </si>
  <si>
    <t>124-P40-C038</t>
  </si>
  <si>
    <t>124-P40-C032</t>
  </si>
  <si>
    <t>124-P40-C025</t>
  </si>
  <si>
    <t>124-P40-C019</t>
  </si>
  <si>
    <t xml:space="preserve">3 DIAS HABILES </t>
  </si>
  <si>
    <t>TUBO LISO PVC C-40 HIDRAULICO 50 MM</t>
  </si>
  <si>
    <t>TUBO LISO PVC C-40 HIDRAULICO 38 MM</t>
  </si>
  <si>
    <t>TUBO LISO PVC C-40 HIDRAULICO 32 MM</t>
  </si>
  <si>
    <t>TUBO LISO PVC C-40 HIDRAULICO 25 MM</t>
  </si>
  <si>
    <t>TUBO LISO PVC C-40 HIDRAULICO 19 MM</t>
  </si>
  <si>
    <t>TUBO LISO PVC C-40 HIDRAULICO 13 MM</t>
  </si>
  <si>
    <t>TUBO LISO CPVC CTS 25 MM RD 11</t>
  </si>
  <si>
    <t>TUBO LISO CPVC CTS 19 MM RD 11</t>
  </si>
  <si>
    <t>TUBO LISO CPVC CTS 13 MM RD 11</t>
  </si>
  <si>
    <t>CODO PVC HIDRAULICO CEMENTAR C-40 90x50  MM</t>
  </si>
  <si>
    <t>CODO PVC HIDRAULICO CEMENTAR C-40 90x38  MM</t>
  </si>
  <si>
    <t>CODO PVC HIDRAULICO CEMENTAR C-40 90x32  MM</t>
  </si>
  <si>
    <t>CODO PVC HIDRAULICO CEMENTAR C-40 90x25  MM</t>
  </si>
  <si>
    <t>CODO PVC HIDRAULICO CEMENTAR C-40 90x19  MM</t>
  </si>
  <si>
    <t>CODO PVC HIDRAULICO CEMENTAR C-40 90x13  MM</t>
  </si>
  <si>
    <t>CODO PVC HIDRAULICO CEMENTAR C-40 45x50  MM</t>
  </si>
  <si>
    <t>CODO PVC HIDRAULICO CEMENTAR C-40 45x38  MM</t>
  </si>
  <si>
    <t>CODO PVC HIDRAULICO CEMENTAR C-40 45x32  MM</t>
  </si>
  <si>
    <t>CODO PVC HIDRAULICO CEMENTAR C-40 45x25  MM</t>
  </si>
  <si>
    <t>CODO PVC HIDRAULICO CEMENTAR C-40 45x19  MM</t>
  </si>
  <si>
    <t>CODO PVC HIDRAULICO CEMENTAR C-40 45x13  MM</t>
  </si>
  <si>
    <t xml:space="preserve">CONECTOR MACHO PVC C-40 50 MM </t>
  </si>
  <si>
    <t>CONECTOR MACHO PVC HIDRAULICO C-40 DE 38 MM</t>
  </si>
  <si>
    <t>CONECTOR MACHO PVC HIDRAULICO C-40 DE 32 MM</t>
  </si>
  <si>
    <t>CONECTOR MACHO PVC HIDRAULICO C-40 DE 19 MM</t>
  </si>
  <si>
    <t>CODO CPVC CTS CEMENTAR 45x25  MM</t>
  </si>
  <si>
    <t>CODO CPVC CTS CEMENTAR 45x19  MM</t>
  </si>
  <si>
    <t>CODO CPVC CTS CEMENTAR 45x13  MM</t>
  </si>
  <si>
    <t>CODO CPVC CTS CEMENTAR 90x25  MM</t>
  </si>
  <si>
    <t>CODO CPVC CTS CEMENTAR 90x19  MM</t>
  </si>
  <si>
    <t>CODO CPVC CTS CEMENTAR 90x13  MM</t>
  </si>
  <si>
    <t>CONECTOR MACHO CPVC CTS CEMENTAR 13MM</t>
  </si>
  <si>
    <t>TEE PVC HIDRAULICO CEMENTAR C-40 38 MMD</t>
  </si>
  <si>
    <t>TEE PVC HIDRAULICO CEMENTAR C-40 32 MMD</t>
  </si>
  <si>
    <t>TEE PVC HIDRAULICO CEMENTAR C-40 25 MMD</t>
  </si>
  <si>
    <t>TEE PVC HIDRAULICO CEMENTAR C-40 19 MMD</t>
  </si>
  <si>
    <t>TEE PVC HIDRAULICO CEMENTAR C-40 13 MMD</t>
  </si>
  <si>
    <t>TEE PAREJA CPVC CTS CEMENTAR 25 MMD</t>
  </si>
  <si>
    <t>TEE PAREJA CPVC CTS CEMENTAR 19 MMD</t>
  </si>
  <si>
    <t>TEE PAREJA CPVC CTS CEMENTAR 13 MMD</t>
  </si>
  <si>
    <t>REDUCCION BUSHING PVC C-40 DE 25X19 MM CEMENTAR</t>
  </si>
  <si>
    <t>REDUCCION BUSHING PVC C-40 DE 50X25 MM CEMENTAR</t>
  </si>
  <si>
    <t>REDUCCION BUSHING PVC C-40 DE 32X13 MM CEMENTAR</t>
  </si>
  <si>
    <t>REDUCCION BUSHING PVC C-40 DE 25X13 MM CEMENTAR</t>
  </si>
  <si>
    <t>REDUCCION BUSHING PVC C-40 DE 19X13 MM CEMENTAR</t>
  </si>
  <si>
    <t>REDUCCION BUSHING CPVC CTS 25X19 MM</t>
  </si>
  <si>
    <t>REDUCCION BUSHING CPVC CTS 19X13 MM</t>
  </si>
  <si>
    <t>COPLE PVC HIDRAULICO C-40 CEMENTAR DE 100 MM</t>
  </si>
  <si>
    <t>COPLE PVC HIDRAULICO C-40 CEMENTAR DE 50 MM</t>
  </si>
  <si>
    <t>COPLE PVC HIDRAULICO C-40 CEMENTAR DE 38 MM</t>
  </si>
  <si>
    <t>COPLE PVC HIDRAULICO C-40 CEMENTAR DE 32 MM</t>
  </si>
  <si>
    <t>COPLE PVC HIDRAULICO C-40 CEMENTAR DE 25 MM</t>
  </si>
  <si>
    <t>COPLE PVC HIDRAULICO C-40 CEMENTAR DE 19 MM</t>
  </si>
  <si>
    <t>COPLE PVC HIDRAULICO C-40 CEMENTAR DE 13 MM</t>
  </si>
  <si>
    <t>COPLE CPVC CTS CEMENTAR 25 MM</t>
  </si>
  <si>
    <t>COPLE CPVC CTS CEMENTAR 19 MM</t>
  </si>
  <si>
    <t>COPLE CPVC CTS CEMENTAR 13 MM</t>
  </si>
  <si>
    <t>TAPON ROSCA MACHO PVC C-40 DE 50MM</t>
  </si>
  <si>
    <t>TAPON ROSCA MACHO PVC C-40 DE 38MM</t>
  </si>
  <si>
    <t>TAPON CAPA CEMENTABLE PVC C-40 DE 100MM</t>
  </si>
  <si>
    <t>TAPON CAPA CEMENTABLE PVC C-40 DE 50 MM</t>
  </si>
  <si>
    <t>TAPON CAPA CEMENTABLE PVC C-40 DE 38 MM</t>
  </si>
  <si>
    <t>TAPON CAPA CEMENTABLE PVC C-40 DE 32 MM</t>
  </si>
  <si>
    <t>TAPON CAPA CEMENTABLE PVC C-40 DE 25 MM</t>
  </si>
  <si>
    <t>TAPON CAPA CEMENTABLE PVC C-40 DE 19 MM</t>
  </si>
  <si>
    <t>TAPON CAPA CEMANTABLE CPVC CTS 25 MM</t>
  </si>
  <si>
    <t>CANALIZACIONES HIDRAULICAS NIVEL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</si>
</sst>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0\ .\-"/>
    <numFmt numFmtId="166" formatCode="#,##0_ ;\-#,##0\ "/>
  </numFmts>
  <fonts count="30">
    <font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ptos Narrow"/>
      <family val="2"/>
    </font>
    <font>
      <b/>
      <sz val="14"/>
      <name val="Aptos Narrow"/>
      <family val="2"/>
    </font>
    <font>
      <b/>
      <sz val="16"/>
      <name val="Aptos Narrow"/>
      <family val="2"/>
    </font>
    <font>
      <b/>
      <sz val="22"/>
      <name val="Aptos Narrow"/>
      <family val="2"/>
    </font>
    <font>
      <sz val="12"/>
      <name val="Aptos Narrow"/>
      <family val="2"/>
    </font>
    <font>
      <sz val="9"/>
      <name val="Aptos Narrow"/>
      <family val="2"/>
    </font>
    <font>
      <b/>
      <sz val="14"/>
      <color theme="0"/>
      <name val="Aptos Narrow"/>
      <family val="2"/>
    </font>
    <font>
      <b/>
      <sz val="18"/>
      <name val="Aptos Narrow"/>
      <family val="2"/>
    </font>
    <font>
      <sz val="14"/>
      <name val="Aptos Narrow"/>
      <family val="2"/>
    </font>
    <font>
      <u/>
      <sz val="12"/>
      <color theme="10"/>
      <name val="Aptos Narrow"/>
      <family val="2"/>
    </font>
    <font>
      <b/>
      <sz val="11"/>
      <color theme="0"/>
      <name val="Aptos Narrow"/>
      <family val="2"/>
    </font>
    <font>
      <u/>
      <sz val="14"/>
      <color theme="10"/>
      <name val="Calibri"/>
      <family val="2"/>
      <scheme val="minor"/>
    </font>
    <font>
      <b/>
      <sz val="12"/>
      <color theme="0"/>
      <name val="Aptos Narrow"/>
      <family val="2"/>
    </font>
    <font>
      <b/>
      <sz val="14"/>
      <color rgb="FFFF0000"/>
      <name val="Aptos Narrow"/>
    </font>
    <font>
      <b/>
      <sz val="18"/>
      <name val="Arial"/>
      <family val="2"/>
    </font>
    <font>
      <b/>
      <sz val="14"/>
      <name val="Aptos Narrow"/>
    </font>
    <font>
      <sz val="14"/>
      <color rgb="FFFF0000"/>
      <name val="Aptos Narrow"/>
      <family val="2"/>
    </font>
    <font>
      <b/>
      <sz val="12"/>
      <name val="Aptos Narrow"/>
      <family val="2"/>
    </font>
    <font>
      <b/>
      <sz val="11"/>
      <name val="Aptos Narrow"/>
      <family val="2"/>
    </font>
    <font>
      <b/>
      <sz val="11"/>
      <color rgb="FFFF0000"/>
      <name val="Aptos Narrow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0"/>
      <name val="Aptos Narrow"/>
      <family val="2"/>
    </font>
    <font>
      <b/>
      <sz val="12"/>
      <color rgb="FF0F04EE"/>
      <name val="Arial Narrow"/>
      <family val="2"/>
    </font>
    <font>
      <b/>
      <sz val="10"/>
      <color rgb="FFFF0000"/>
      <name val="Arial Narrow"/>
      <family val="2"/>
    </font>
    <font>
      <b/>
      <sz val="16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/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2" borderId="1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9" fillId="2" borderId="18" xfId="0" applyFont="1" applyFill="1" applyBorder="1" applyAlignment="1">
      <alignment horizontal="left" vertical="center"/>
    </xf>
    <xf numFmtId="0" fontId="9" fillId="2" borderId="19" xfId="0" applyFont="1" applyFill="1" applyBorder="1" applyAlignment="1">
      <alignment vertical="center" wrapText="1"/>
    </xf>
    <xf numFmtId="0" fontId="9" fillId="2" borderId="19" xfId="0" applyFont="1" applyFill="1" applyBorder="1"/>
    <xf numFmtId="0" fontId="9" fillId="2" borderId="20" xfId="0" applyFont="1" applyFill="1" applyBorder="1"/>
    <xf numFmtId="0" fontId="9" fillId="2" borderId="21" xfId="0" applyFont="1" applyFill="1" applyBorder="1" applyAlignment="1">
      <alignment horizontal="left" vertical="center"/>
    </xf>
    <xf numFmtId="0" fontId="9" fillId="2" borderId="24" xfId="0" applyFont="1" applyFill="1" applyBorder="1"/>
    <xf numFmtId="0" fontId="13" fillId="0" borderId="0" xfId="0" applyFont="1"/>
    <xf numFmtId="0" fontId="3" fillId="0" borderId="0" xfId="0" applyFont="1" applyAlignment="1">
      <alignment wrapText="1"/>
    </xf>
    <xf numFmtId="0" fontId="11" fillId="0" borderId="0" xfId="0" applyFont="1"/>
    <xf numFmtId="0" fontId="9" fillId="0" borderId="0" xfId="0" applyFont="1" applyAlignment="1">
      <alignment horizontal="center" vertical="center"/>
    </xf>
    <xf numFmtId="0" fontId="11" fillId="0" borderId="31" xfId="0" applyFont="1" applyBorder="1"/>
    <xf numFmtId="0" fontId="4" fillId="0" borderId="3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19" fillId="0" borderId="37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27" xfId="0" applyFont="1" applyBorder="1" applyAlignment="1">
      <alignment vertical="center"/>
    </xf>
    <xf numFmtId="0" fontId="9" fillId="2" borderId="16" xfId="0" applyFont="1" applyFill="1" applyBorder="1"/>
    <xf numFmtId="0" fontId="9" fillId="0" borderId="0" xfId="0" applyFont="1"/>
    <xf numFmtId="0" fontId="9" fillId="2" borderId="21" xfId="0" applyFont="1" applyFill="1" applyBorder="1"/>
    <xf numFmtId="0" fontId="9" fillId="0" borderId="0" xfId="0" applyFont="1" applyAlignment="1">
      <alignment horizontal="center"/>
    </xf>
    <xf numFmtId="43" fontId="4" fillId="0" borderId="0" xfId="1" applyFont="1"/>
    <xf numFmtId="0" fontId="20" fillId="0" borderId="0" xfId="0" applyFont="1"/>
    <xf numFmtId="164" fontId="4" fillId="0" borderId="0" xfId="0" applyNumberFormat="1" applyFont="1"/>
    <xf numFmtId="0" fontId="4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40" xfId="0" applyFont="1" applyBorder="1"/>
    <xf numFmtId="0" fontId="11" fillId="0" borderId="41" xfId="0" applyFont="1" applyBorder="1"/>
    <xf numFmtId="0" fontId="9" fillId="2" borderId="6" xfId="0" applyFont="1" applyFill="1" applyBorder="1"/>
    <xf numFmtId="0" fontId="9" fillId="2" borderId="7" xfId="0" applyFont="1" applyFill="1" applyBorder="1"/>
    <xf numFmtId="0" fontId="11" fillId="0" borderId="30" xfId="0" applyFont="1" applyBorder="1"/>
    <xf numFmtId="14" fontId="11" fillId="0" borderId="32" xfId="0" applyNumberFormat="1" applyFont="1" applyBorder="1"/>
    <xf numFmtId="0" fontId="9" fillId="2" borderId="11" xfId="0" applyFont="1" applyFill="1" applyBorder="1"/>
    <xf numFmtId="0" fontId="9" fillId="2" borderId="12" xfId="0" applyFont="1" applyFill="1" applyBorder="1"/>
    <xf numFmtId="0" fontId="4" fillId="0" borderId="36" xfId="0" applyFont="1" applyBorder="1"/>
    <xf numFmtId="0" fontId="11" fillId="0" borderId="37" xfId="0" applyFont="1" applyBorder="1"/>
    <xf numFmtId="0" fontId="4" fillId="0" borderId="38" xfId="0" applyFont="1" applyBorder="1"/>
    <xf numFmtId="0" fontId="4" fillId="0" borderId="26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1" fillId="0" borderId="40" xfId="0" applyFont="1" applyBorder="1" applyAlignment="1">
      <alignment horizontal="left" vertical="center"/>
    </xf>
    <xf numFmtId="14" fontId="11" fillId="0" borderId="41" xfId="0" applyNumberFormat="1" applyFont="1" applyBorder="1"/>
    <xf numFmtId="0" fontId="11" fillId="0" borderId="0" xfId="0" applyFont="1" applyBorder="1"/>
    <xf numFmtId="0" fontId="19" fillId="0" borderId="0" xfId="0" applyFont="1" applyBorder="1" applyAlignment="1">
      <alignment vertical="center"/>
    </xf>
    <xf numFmtId="0" fontId="23" fillId="0" borderId="7" xfId="0" applyFont="1" applyFill="1" applyBorder="1" applyAlignment="1">
      <alignment horizontal="center" vertical="center"/>
    </xf>
    <xf numFmtId="2" fontId="23" fillId="0" borderId="7" xfId="0" applyNumberFormat="1" applyFont="1" applyFill="1" applyBorder="1" applyAlignment="1">
      <alignment horizontal="center" vertical="center"/>
    </xf>
    <xf numFmtId="44" fontId="23" fillId="0" borderId="7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44" fontId="23" fillId="0" borderId="47" xfId="1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2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2" fontId="23" fillId="0" borderId="12" xfId="0" applyNumberFormat="1" applyFont="1" applyBorder="1" applyAlignment="1">
      <alignment horizontal="center" vertical="center"/>
    </xf>
    <xf numFmtId="44" fontId="23" fillId="0" borderId="12" xfId="0" applyNumberFormat="1" applyFont="1" applyFill="1" applyBorder="1" applyAlignment="1">
      <alignment horizontal="center" vertical="center"/>
    </xf>
    <xf numFmtId="44" fontId="23" fillId="0" borderId="23" xfId="1" applyNumberFormat="1" applyFont="1" applyFill="1" applyBorder="1" applyAlignment="1">
      <alignment horizontal="center" vertical="center"/>
    </xf>
    <xf numFmtId="0" fontId="15" fillId="2" borderId="48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/>
    </xf>
    <xf numFmtId="165" fontId="26" fillId="0" borderId="6" xfId="0" applyNumberFormat="1" applyFont="1" applyBorder="1" applyAlignment="1">
      <alignment horizontal="center"/>
    </xf>
    <xf numFmtId="0" fontId="9" fillId="2" borderId="49" xfId="0" applyFont="1" applyFill="1" applyBorder="1" applyAlignment="1">
      <alignment horizontal="center" vertical="center" wrapText="1"/>
    </xf>
    <xf numFmtId="166" fontId="27" fillId="3" borderId="7" xfId="2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2" fillId="0" borderId="0" xfId="3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164" fontId="11" fillId="0" borderId="29" xfId="0" applyNumberFormat="1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44" fontId="11" fillId="0" borderId="7" xfId="2" applyFont="1" applyBorder="1" applyAlignment="1">
      <alignment vertical="center" wrapText="1"/>
    </xf>
    <xf numFmtId="44" fontId="11" fillId="0" borderId="12" xfId="2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165" fontId="26" fillId="0" borderId="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44" fontId="17" fillId="0" borderId="0" xfId="2" applyFont="1"/>
    <xf numFmtId="44" fontId="28" fillId="0" borderId="0" xfId="2" applyFont="1" applyAlignment="1">
      <alignment horizontal="right" vertical="center"/>
    </xf>
    <xf numFmtId="44" fontId="29" fillId="0" borderId="0" xfId="2" applyFont="1"/>
    <xf numFmtId="44" fontId="29" fillId="0" borderId="31" xfId="2" applyFont="1" applyBorder="1"/>
    <xf numFmtId="165" fontId="24" fillId="0" borderId="8" xfId="0" applyNumberFormat="1" applyFont="1" applyFill="1" applyBorder="1" applyAlignment="1">
      <alignment horizontal="left" vertical="center" wrapText="1"/>
    </xf>
    <xf numFmtId="165" fontId="24" fillId="0" borderId="9" xfId="0" applyNumberFormat="1" applyFont="1" applyFill="1" applyBorder="1" applyAlignment="1">
      <alignment horizontal="left" vertical="center" wrapText="1"/>
    </xf>
    <xf numFmtId="165" fontId="24" fillId="0" borderId="34" xfId="0" applyNumberFormat="1" applyFont="1" applyFill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44" fontId="11" fillId="0" borderId="8" xfId="2" applyFont="1" applyBorder="1" applyAlignment="1">
      <alignment horizontal="center"/>
    </xf>
    <xf numFmtId="44" fontId="11" fillId="0" borderId="34" xfId="2" applyFont="1" applyBorder="1" applyAlignment="1">
      <alignment horizontal="center"/>
    </xf>
    <xf numFmtId="0" fontId="9" fillId="2" borderId="42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44" fontId="11" fillId="0" borderId="42" xfId="2" applyFont="1" applyBorder="1" applyAlignment="1">
      <alignment horizontal="center"/>
    </xf>
    <xf numFmtId="44" fontId="11" fillId="0" borderId="44" xfId="2" applyFont="1" applyBorder="1" applyAlignment="1">
      <alignment horizontal="center"/>
    </xf>
    <xf numFmtId="44" fontId="11" fillId="0" borderId="45" xfId="2" applyFont="1" applyBorder="1" applyAlignment="1">
      <alignment horizontal="center"/>
    </xf>
    <xf numFmtId="44" fontId="11" fillId="0" borderId="32" xfId="2" applyFont="1" applyBorder="1" applyAlignment="1">
      <alignment horizontal="center"/>
    </xf>
    <xf numFmtId="44" fontId="11" fillId="0" borderId="46" xfId="2" applyFont="1" applyBorder="1" applyAlignment="1">
      <alignment horizontal="center"/>
    </xf>
    <xf numFmtId="0" fontId="9" fillId="2" borderId="25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44" fontId="11" fillId="0" borderId="9" xfId="2" applyFont="1" applyBorder="1" applyAlignment="1">
      <alignment horizontal="center"/>
    </xf>
    <xf numFmtId="44" fontId="11" fillId="0" borderId="10" xfId="2" applyFont="1" applyBorder="1" applyAlignment="1">
      <alignment horizontal="center"/>
    </xf>
    <xf numFmtId="0" fontId="18" fillId="0" borderId="0" xfId="0" applyFont="1" applyAlignment="1">
      <alignment horizontal="center"/>
    </xf>
    <xf numFmtId="2" fontId="24" fillId="0" borderId="12" xfId="0" applyNumberFormat="1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9" fillId="2" borderId="36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0" fontId="2" fillId="0" borderId="26" xfId="3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14" fontId="11" fillId="0" borderId="8" xfId="0" applyNumberFormat="1" applyFont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center" vertical="center" wrapText="1"/>
    </xf>
    <xf numFmtId="14" fontId="11" fillId="0" borderId="1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2" fillId="0" borderId="0" xfId="3" applyFont="1" applyAlignment="1">
      <alignment horizontal="left" vertical="center" wrapText="1"/>
    </xf>
    <xf numFmtId="0" fontId="2" fillId="0" borderId="19" xfId="3" applyBorder="1" applyAlignment="1">
      <alignment horizontal="center" vertical="center"/>
    </xf>
    <xf numFmtId="0" fontId="2" fillId="0" borderId="9" xfId="3" applyBorder="1" applyAlignment="1">
      <alignment horizontal="center" vertical="center"/>
    </xf>
    <xf numFmtId="0" fontId="2" fillId="0" borderId="10" xfId="3" applyBorder="1" applyAlignment="1">
      <alignment horizontal="center" vertical="center"/>
    </xf>
    <xf numFmtId="0" fontId="14" fillId="0" borderId="22" xfId="3" applyNumberFormat="1" applyFont="1" applyBorder="1" applyAlignment="1">
      <alignment horizontal="center" vertical="center"/>
    </xf>
    <xf numFmtId="0" fontId="14" fillId="0" borderId="12" xfId="3" applyNumberFormat="1" applyFont="1" applyBorder="1" applyAlignment="1">
      <alignment horizontal="center" vertical="center"/>
    </xf>
    <xf numFmtId="0" fontId="14" fillId="0" borderId="23" xfId="3" applyNumberFormat="1" applyFont="1" applyBorder="1" applyAlignment="1">
      <alignment horizontal="center" vertical="center"/>
    </xf>
    <xf numFmtId="0" fontId="2" fillId="0" borderId="9" xfId="3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</cellXfs>
  <cellStyles count="6">
    <cellStyle name="Hipervínculo" xfId="3" builtinId="8"/>
    <cellStyle name="Millares" xfId="1" builtinId="3"/>
    <cellStyle name="Millares 2" xfId="4" xr:uid="{70054E80-A509-4106-907E-B15D5E878363}"/>
    <cellStyle name="Moneda" xfId="2" builtinId="4"/>
    <cellStyle name="Moneda 2" xfId="5" xr:uid="{275F38CA-16E6-47C8-ABC3-A64C56B8EB7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661147</xdr:colOff>
      <xdr:row>1</xdr:row>
      <xdr:rowOff>6724</xdr:rowOff>
    </xdr:from>
    <xdr:ext cx="1360394" cy="130436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0041" y="437030"/>
          <a:ext cx="1360394" cy="130436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90</xdr:row>
          <xdr:rowOff>47625</xdr:rowOff>
        </xdr:from>
        <xdr:to>
          <xdr:col>12</xdr:col>
          <xdr:colOff>419100</xdr:colOff>
          <xdr:row>90</xdr:row>
          <xdr:rowOff>266700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91</xdr:row>
          <xdr:rowOff>38100</xdr:rowOff>
        </xdr:from>
        <xdr:to>
          <xdr:col>12</xdr:col>
          <xdr:colOff>571500</xdr:colOff>
          <xdr:row>92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92</xdr:row>
          <xdr:rowOff>38100</xdr:rowOff>
        </xdr:from>
        <xdr:to>
          <xdr:col>12</xdr:col>
          <xdr:colOff>428625</xdr:colOff>
          <xdr:row>93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590550</xdr:colOff>
          <xdr:row>101</xdr:row>
          <xdr:rowOff>438150</xdr:rowOff>
        </xdr:from>
        <xdr:to>
          <xdr:col>16</xdr:col>
          <xdr:colOff>371475</xdr:colOff>
          <xdr:row>102</xdr:row>
          <xdr:rowOff>257175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600075</xdr:colOff>
          <xdr:row>103</xdr:row>
          <xdr:rowOff>28575</xdr:rowOff>
        </xdr:from>
        <xdr:to>
          <xdr:col>16</xdr:col>
          <xdr:colOff>285750</xdr:colOff>
          <xdr:row>104</xdr:row>
          <xdr:rowOff>28575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hyperlink" Target="https://maps.app.goo.gl/JTxxKnSdUs8we2Zz6" TargetMode="External"/><Relationship Id="rId7" Type="http://schemas.openxmlformats.org/officeDocument/2006/relationships/vmlDrawing" Target="../drawings/vmlDrawing1.vml"/><Relationship Id="rId12" Type="http://schemas.openxmlformats.org/officeDocument/2006/relationships/ctrlProp" Target="../ctrlProps/ctrlProp5.xml"/><Relationship Id="rId2" Type="http://schemas.openxmlformats.org/officeDocument/2006/relationships/hyperlink" Target="mailto:facturas@unauncuarto.com" TargetMode="External"/><Relationship Id="rId1" Type="http://schemas.openxmlformats.org/officeDocument/2006/relationships/hyperlink" Target="mailto:facturas@unauncuarto.com" TargetMode="External"/><Relationship Id="rId6" Type="http://schemas.openxmlformats.org/officeDocument/2006/relationships/drawing" Target="../drawings/drawing1.xml"/><Relationship Id="rId11" Type="http://schemas.openxmlformats.org/officeDocument/2006/relationships/ctrlProp" Target="../ctrlProps/ctrlProp4.xml"/><Relationship Id="rId5" Type="http://schemas.openxmlformats.org/officeDocument/2006/relationships/printerSettings" Target="../printerSettings/printerSettings1.bin"/><Relationship Id="rId10" Type="http://schemas.openxmlformats.org/officeDocument/2006/relationships/ctrlProp" Target="../ctrlProps/ctrlProp3.xml"/><Relationship Id="rId4" Type="http://schemas.openxmlformats.org/officeDocument/2006/relationships/hyperlink" Target="mailto:crojass@emmsa.com" TargetMode="External"/><Relationship Id="rId9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C2D8-59EB-407C-856F-F206C8409535}">
  <dimension ref="B1:T107"/>
  <sheetViews>
    <sheetView showGridLines="0" tabSelected="1" view="pageBreakPreview" zoomScale="68" zoomScaleNormal="100" zoomScaleSheetLayoutView="68" workbookViewId="0">
      <selection activeCell="E19" sqref="E19:M19"/>
    </sheetView>
  </sheetViews>
  <sheetFormatPr baseColWidth="10" defaultColWidth="11.42578125" defaultRowHeight="14.25"/>
  <cols>
    <col min="1" max="1" width="9.85546875" style="1" customWidth="1"/>
    <col min="2" max="2" width="28.7109375" style="1" customWidth="1"/>
    <col min="3" max="3" width="16.7109375" style="1" customWidth="1"/>
    <col min="4" max="4" width="19.28515625" style="78" customWidth="1"/>
    <col min="5" max="5" width="11.42578125" style="1"/>
    <col min="6" max="6" width="8.7109375" style="1" customWidth="1"/>
    <col min="7" max="8" width="2.28515625" style="1" customWidth="1"/>
    <col min="9" max="11" width="3" style="1" customWidth="1"/>
    <col min="12" max="12" width="9.140625" style="1" customWidth="1"/>
    <col min="13" max="13" width="22.140625" style="1" customWidth="1"/>
    <col min="14" max="15" width="12.28515625" style="1" customWidth="1"/>
    <col min="16" max="16" width="16.85546875" style="1" customWidth="1"/>
    <col min="17" max="17" width="23.85546875" style="1" customWidth="1"/>
    <col min="18" max="18" width="15.5703125" style="1" customWidth="1"/>
    <col min="19" max="16384" width="11.42578125" style="1"/>
  </cols>
  <sheetData>
    <row r="1" spans="3:20" ht="34.5" customHeight="1"/>
    <row r="2" spans="3:20" ht="24.75" customHeight="1">
      <c r="D2" s="160" t="s">
        <v>0</v>
      </c>
      <c r="E2" s="160"/>
      <c r="F2" s="160"/>
      <c r="G2" s="3"/>
      <c r="H2" s="3"/>
      <c r="I2" s="3"/>
      <c r="J2" s="3"/>
      <c r="K2" s="3"/>
      <c r="L2" s="3"/>
      <c r="M2" s="148" t="s">
        <v>1</v>
      </c>
      <c r="N2" s="148"/>
      <c r="O2" s="148"/>
      <c r="P2" s="148"/>
      <c r="Q2" s="148"/>
    </row>
    <row r="3" spans="3:20" ht="27" customHeight="1" thickBot="1">
      <c r="D3" s="89" t="s">
        <v>2</v>
      </c>
      <c r="E3" s="89"/>
      <c r="F3" s="89"/>
      <c r="G3" s="4"/>
      <c r="H3" s="4"/>
      <c r="I3" s="4"/>
      <c r="J3" s="4"/>
      <c r="K3" s="4"/>
      <c r="L3" s="4"/>
      <c r="M3" s="148"/>
      <c r="N3" s="148"/>
      <c r="O3" s="148"/>
      <c r="P3" s="148"/>
      <c r="Q3" s="148"/>
    </row>
    <row r="4" spans="3:20" ht="44.25" customHeight="1">
      <c r="D4" s="149" t="s">
        <v>3</v>
      </c>
      <c r="E4" s="149"/>
      <c r="F4" s="149"/>
      <c r="G4" s="4"/>
      <c r="H4" s="4"/>
      <c r="I4" s="4"/>
      <c r="J4" s="4"/>
      <c r="K4" s="4"/>
      <c r="L4" s="4"/>
      <c r="M4" s="150" t="s">
        <v>4</v>
      </c>
      <c r="N4" s="151"/>
      <c r="O4" s="152" t="s">
        <v>70</v>
      </c>
      <c r="P4" s="153"/>
      <c r="Q4" s="154"/>
    </row>
    <row r="5" spans="3:20" ht="21.75" customHeight="1">
      <c r="D5" s="89" t="s">
        <v>5</v>
      </c>
      <c r="E5" s="91"/>
      <c r="F5" s="91"/>
      <c r="M5" s="155" t="s">
        <v>6</v>
      </c>
      <c r="N5" s="156"/>
      <c r="O5" s="157">
        <v>46057</v>
      </c>
      <c r="P5" s="158"/>
      <c r="Q5" s="159"/>
    </row>
    <row r="6" spans="3:20" ht="23.25" customHeight="1" thickBot="1">
      <c r="D6" s="176" t="s">
        <v>7</v>
      </c>
      <c r="E6" s="176"/>
      <c r="F6" s="176"/>
      <c r="M6" s="161" t="s">
        <v>8</v>
      </c>
      <c r="N6" s="162"/>
      <c r="O6" s="163" t="s">
        <v>66</v>
      </c>
      <c r="P6" s="164"/>
      <c r="Q6" s="165"/>
    </row>
    <row r="7" spans="3:20" ht="16.5" customHeight="1">
      <c r="D7" s="79"/>
      <c r="E7" s="5"/>
      <c r="F7" s="5"/>
      <c r="M7" s="6"/>
      <c r="N7" s="6"/>
      <c r="O7" s="6"/>
      <c r="P7" s="7"/>
      <c r="Q7" s="7"/>
    </row>
    <row r="8" spans="3:20" ht="5.45" customHeight="1" thickBot="1"/>
    <row r="9" spans="3:20" ht="40.5" customHeight="1">
      <c r="C9" s="8" t="s">
        <v>9</v>
      </c>
      <c r="D9" s="166" t="s">
        <v>61</v>
      </c>
      <c r="E9" s="167"/>
      <c r="F9" s="167"/>
      <c r="G9" s="167"/>
      <c r="H9" s="167"/>
      <c r="I9" s="167"/>
      <c r="J9" s="167"/>
      <c r="K9" s="168"/>
      <c r="L9" s="7"/>
      <c r="M9" s="9" t="s">
        <v>10</v>
      </c>
      <c r="N9" s="172" t="s">
        <v>58</v>
      </c>
      <c r="O9" s="172"/>
      <c r="P9" s="172"/>
      <c r="Q9" s="173"/>
      <c r="T9" s="10"/>
    </row>
    <row r="10" spans="3:20" ht="34.5" customHeight="1">
      <c r="C10" s="11" t="s">
        <v>11</v>
      </c>
      <c r="D10" s="169" t="s">
        <v>62</v>
      </c>
      <c r="E10" s="170"/>
      <c r="F10" s="170"/>
      <c r="G10" s="170"/>
      <c r="H10" s="170"/>
      <c r="I10" s="170"/>
      <c r="J10" s="170"/>
      <c r="K10" s="171"/>
      <c r="L10" s="7"/>
      <c r="M10" s="12" t="s">
        <v>12</v>
      </c>
      <c r="N10" s="174" t="s">
        <v>59</v>
      </c>
      <c r="O10" s="174"/>
      <c r="P10" s="174"/>
      <c r="Q10" s="175"/>
    </row>
    <row r="11" spans="3:20" ht="34.5" customHeight="1">
      <c r="C11" s="11" t="s">
        <v>13</v>
      </c>
      <c r="D11" s="169">
        <v>9985001200</v>
      </c>
      <c r="E11" s="170"/>
      <c r="F11" s="170"/>
      <c r="G11" s="170"/>
      <c r="H11" s="170"/>
      <c r="I11" s="170"/>
      <c r="J11" s="170"/>
      <c r="K11" s="171"/>
      <c r="L11" s="7"/>
      <c r="M11" s="13" t="s">
        <v>14</v>
      </c>
      <c r="N11" s="183" t="s">
        <v>60</v>
      </c>
      <c r="O11" s="184"/>
      <c r="P11" s="184"/>
      <c r="Q11" s="185"/>
    </row>
    <row r="12" spans="3:20" ht="34.5" customHeight="1">
      <c r="C12" s="11" t="s">
        <v>15</v>
      </c>
      <c r="D12" s="177" t="s">
        <v>63</v>
      </c>
      <c r="E12" s="178"/>
      <c r="F12" s="178"/>
      <c r="G12" s="178"/>
      <c r="H12" s="178"/>
      <c r="I12" s="178"/>
      <c r="J12" s="178"/>
      <c r="K12" s="179"/>
      <c r="L12" s="7"/>
      <c r="M12" s="14" t="s">
        <v>16</v>
      </c>
      <c r="N12" s="170" t="s">
        <v>64</v>
      </c>
      <c r="O12" s="170"/>
      <c r="P12" s="170"/>
      <c r="Q12" s="171"/>
    </row>
    <row r="13" spans="3:20" ht="34.5" customHeight="1" thickBot="1">
      <c r="C13" s="15" t="s">
        <v>17</v>
      </c>
      <c r="D13" s="180">
        <v>1518514</v>
      </c>
      <c r="E13" s="181"/>
      <c r="F13" s="181"/>
      <c r="G13" s="181"/>
      <c r="H13" s="181"/>
      <c r="I13" s="181"/>
      <c r="J13" s="181"/>
      <c r="K13" s="182"/>
      <c r="L13" s="7" t="s">
        <v>67</v>
      </c>
      <c r="M13" s="16" t="s">
        <v>18</v>
      </c>
      <c r="N13" s="186" t="s">
        <v>65</v>
      </c>
      <c r="O13" s="186"/>
      <c r="P13" s="186"/>
      <c r="Q13" s="187"/>
    </row>
    <row r="14" spans="3:20" ht="15.75" thickBot="1">
      <c r="C14" s="17"/>
      <c r="D14" s="80"/>
      <c r="E14" s="7"/>
      <c r="F14" s="7"/>
      <c r="G14" s="7"/>
      <c r="H14" s="7"/>
      <c r="I14" s="7"/>
      <c r="J14" s="7"/>
      <c r="K14" s="7"/>
      <c r="L14" s="7"/>
      <c r="M14" s="17"/>
      <c r="N14" s="7"/>
      <c r="O14" s="7"/>
      <c r="P14" s="7"/>
      <c r="Q14" s="7"/>
    </row>
    <row r="15" spans="3:20" ht="15" customHeight="1">
      <c r="C15" s="118" t="s">
        <v>19</v>
      </c>
      <c r="D15" s="132" t="s">
        <v>71</v>
      </c>
      <c r="E15" s="133"/>
      <c r="F15" s="133"/>
      <c r="G15" s="133"/>
      <c r="H15" s="133"/>
      <c r="I15" s="133"/>
      <c r="J15" s="133"/>
      <c r="K15" s="134"/>
      <c r="L15" s="7"/>
      <c r="M15" s="118" t="s">
        <v>20</v>
      </c>
      <c r="N15" s="141" t="s">
        <v>7</v>
      </c>
      <c r="O15" s="142"/>
      <c r="P15" s="142"/>
      <c r="Q15" s="143"/>
    </row>
    <row r="16" spans="3:20" ht="21.75" customHeight="1" thickBot="1">
      <c r="C16" s="120"/>
      <c r="D16" s="135"/>
      <c r="E16" s="136"/>
      <c r="F16" s="136"/>
      <c r="G16" s="136"/>
      <c r="H16" s="136"/>
      <c r="I16" s="136"/>
      <c r="J16" s="136"/>
      <c r="K16" s="137"/>
      <c r="L16" s="7"/>
      <c r="M16" s="120"/>
      <c r="N16" s="144"/>
      <c r="O16" s="145"/>
      <c r="P16" s="145"/>
      <c r="Q16" s="146"/>
    </row>
    <row r="17" spans="2:17" ht="15" thickBot="1"/>
    <row r="18" spans="2:17" s="18" customFormat="1" ht="38.25" customHeight="1">
      <c r="B18" s="69" t="s">
        <v>21</v>
      </c>
      <c r="C18" s="70" t="s">
        <v>22</v>
      </c>
      <c r="D18" s="76" t="s">
        <v>23</v>
      </c>
      <c r="E18" s="147" t="s">
        <v>24</v>
      </c>
      <c r="F18" s="147"/>
      <c r="G18" s="147"/>
      <c r="H18" s="147"/>
      <c r="I18" s="147"/>
      <c r="J18" s="147"/>
      <c r="K18" s="147"/>
      <c r="L18" s="147"/>
      <c r="M18" s="147"/>
      <c r="N18" s="71" t="s">
        <v>25</v>
      </c>
      <c r="O18" s="72" t="s">
        <v>26</v>
      </c>
      <c r="P18" s="71" t="s">
        <v>27</v>
      </c>
      <c r="Q18" s="73" t="s">
        <v>28</v>
      </c>
    </row>
    <row r="19" spans="2:17" ht="40.5" customHeight="1">
      <c r="B19" s="90" t="s">
        <v>72</v>
      </c>
      <c r="C19" s="74"/>
      <c r="D19" s="77" t="s">
        <v>131</v>
      </c>
      <c r="E19" s="96" t="s">
        <v>132</v>
      </c>
      <c r="F19" s="97"/>
      <c r="G19" s="97"/>
      <c r="H19" s="97"/>
      <c r="I19" s="97"/>
      <c r="J19" s="97"/>
      <c r="K19" s="97"/>
      <c r="L19" s="97"/>
      <c r="M19" s="98"/>
      <c r="N19" s="58" t="s">
        <v>68</v>
      </c>
      <c r="O19" s="59">
        <v>20</v>
      </c>
      <c r="P19" s="60">
        <v>176.52</v>
      </c>
      <c r="Q19" s="62">
        <f t="shared" ref="Q19:Q45" si="0">P19*O19</f>
        <v>3530.4</v>
      </c>
    </row>
    <row r="20" spans="2:17" ht="40.5" customHeight="1">
      <c r="B20" s="90" t="s">
        <v>73</v>
      </c>
      <c r="C20" s="74"/>
      <c r="D20" s="77" t="s">
        <v>131</v>
      </c>
      <c r="E20" s="96" t="s">
        <v>133</v>
      </c>
      <c r="F20" s="97"/>
      <c r="G20" s="97"/>
      <c r="H20" s="97"/>
      <c r="I20" s="97"/>
      <c r="J20" s="97"/>
      <c r="K20" s="97"/>
      <c r="L20" s="97"/>
      <c r="M20" s="98"/>
      <c r="N20" s="58" t="s">
        <v>68</v>
      </c>
      <c r="O20" s="59">
        <v>30</v>
      </c>
      <c r="P20" s="60">
        <v>129.54</v>
      </c>
      <c r="Q20" s="62">
        <f t="shared" si="0"/>
        <v>3886.2</v>
      </c>
    </row>
    <row r="21" spans="2:17" ht="40.5" customHeight="1">
      <c r="B21" s="90" t="s">
        <v>74</v>
      </c>
      <c r="C21" s="74"/>
      <c r="D21" s="77" t="s">
        <v>131</v>
      </c>
      <c r="E21" s="96" t="s">
        <v>134</v>
      </c>
      <c r="F21" s="97"/>
      <c r="G21" s="97"/>
      <c r="H21" s="97"/>
      <c r="I21" s="97"/>
      <c r="J21" s="97"/>
      <c r="K21" s="97"/>
      <c r="L21" s="97"/>
      <c r="M21" s="98"/>
      <c r="N21" s="58" t="s">
        <v>68</v>
      </c>
      <c r="O21" s="59">
        <v>30</v>
      </c>
      <c r="P21" s="60">
        <v>109.80000000000001</v>
      </c>
      <c r="Q21" s="62">
        <f t="shared" si="0"/>
        <v>3294.0000000000005</v>
      </c>
    </row>
    <row r="22" spans="2:17" ht="40.5" customHeight="1">
      <c r="B22" s="90" t="s">
        <v>75</v>
      </c>
      <c r="C22" s="74"/>
      <c r="D22" s="77" t="s">
        <v>131</v>
      </c>
      <c r="E22" s="96" t="s">
        <v>135</v>
      </c>
      <c r="F22" s="97"/>
      <c r="G22" s="97"/>
      <c r="H22" s="97"/>
      <c r="I22" s="97"/>
      <c r="J22" s="97"/>
      <c r="K22" s="97"/>
      <c r="L22" s="97"/>
      <c r="M22" s="98"/>
      <c r="N22" s="58" t="s">
        <v>68</v>
      </c>
      <c r="O22" s="59">
        <v>35</v>
      </c>
      <c r="P22" s="60">
        <v>80.400000000000006</v>
      </c>
      <c r="Q22" s="62">
        <f t="shared" si="0"/>
        <v>2814</v>
      </c>
    </row>
    <row r="23" spans="2:17" ht="40.5" customHeight="1">
      <c r="B23" s="75" t="s">
        <v>76</v>
      </c>
      <c r="C23" s="74"/>
      <c r="D23" s="77" t="s">
        <v>131</v>
      </c>
      <c r="E23" s="96" t="s">
        <v>136</v>
      </c>
      <c r="F23" s="97"/>
      <c r="G23" s="97"/>
      <c r="H23" s="97"/>
      <c r="I23" s="97"/>
      <c r="J23" s="97"/>
      <c r="K23" s="97"/>
      <c r="L23" s="97"/>
      <c r="M23" s="98"/>
      <c r="N23" s="58" t="s">
        <v>68</v>
      </c>
      <c r="O23" s="59">
        <v>60</v>
      </c>
      <c r="P23" s="60">
        <v>55.5</v>
      </c>
      <c r="Q23" s="62">
        <f t="shared" si="0"/>
        <v>3330</v>
      </c>
    </row>
    <row r="24" spans="2:17" ht="40.5" customHeight="1">
      <c r="B24" s="90" t="s">
        <v>77</v>
      </c>
      <c r="C24" s="74"/>
      <c r="D24" s="77" t="s">
        <v>131</v>
      </c>
      <c r="E24" s="96" t="s">
        <v>137</v>
      </c>
      <c r="F24" s="97"/>
      <c r="G24" s="97"/>
      <c r="H24" s="97"/>
      <c r="I24" s="97"/>
      <c r="J24" s="97"/>
      <c r="K24" s="97"/>
      <c r="L24" s="97"/>
      <c r="M24" s="98"/>
      <c r="N24" s="58" t="s">
        <v>68</v>
      </c>
      <c r="O24" s="59">
        <v>120</v>
      </c>
      <c r="P24" s="60">
        <v>38.46</v>
      </c>
      <c r="Q24" s="62">
        <f t="shared" si="0"/>
        <v>4615.2</v>
      </c>
    </row>
    <row r="25" spans="2:17" ht="40.5" customHeight="1">
      <c r="B25" s="90" t="s">
        <v>78</v>
      </c>
      <c r="C25" s="74"/>
      <c r="D25" s="77" t="s">
        <v>131</v>
      </c>
      <c r="E25" s="96" t="s">
        <v>138</v>
      </c>
      <c r="F25" s="97"/>
      <c r="G25" s="97"/>
      <c r="H25" s="97"/>
      <c r="I25" s="97"/>
      <c r="J25" s="97"/>
      <c r="K25" s="97"/>
      <c r="L25" s="97"/>
      <c r="M25" s="98"/>
      <c r="N25" s="58" t="s">
        <v>68</v>
      </c>
      <c r="O25" s="59">
        <v>50</v>
      </c>
      <c r="P25" s="60">
        <v>76.188999999999993</v>
      </c>
      <c r="Q25" s="62">
        <f t="shared" si="0"/>
        <v>3809.45</v>
      </c>
    </row>
    <row r="26" spans="2:17" ht="40.5" customHeight="1">
      <c r="B26" s="90" t="s">
        <v>79</v>
      </c>
      <c r="C26" s="74"/>
      <c r="D26" s="77" t="s">
        <v>131</v>
      </c>
      <c r="E26" s="96" t="s">
        <v>139</v>
      </c>
      <c r="F26" s="97"/>
      <c r="G26" s="97"/>
      <c r="H26" s="97"/>
      <c r="I26" s="97"/>
      <c r="J26" s="97"/>
      <c r="K26" s="97"/>
      <c r="L26" s="97"/>
      <c r="M26" s="98"/>
      <c r="N26" s="58" t="s">
        <v>68</v>
      </c>
      <c r="O26" s="59">
        <v>60</v>
      </c>
      <c r="P26" s="60">
        <v>47.091999999999999</v>
      </c>
      <c r="Q26" s="62">
        <f t="shared" si="0"/>
        <v>2825.52</v>
      </c>
    </row>
    <row r="27" spans="2:17" ht="40.5" customHeight="1">
      <c r="B27" s="90" t="s">
        <v>80</v>
      </c>
      <c r="C27" s="74"/>
      <c r="D27" s="77" t="s">
        <v>131</v>
      </c>
      <c r="E27" s="96" t="s">
        <v>140</v>
      </c>
      <c r="F27" s="97"/>
      <c r="G27" s="97"/>
      <c r="H27" s="97"/>
      <c r="I27" s="97"/>
      <c r="J27" s="97"/>
      <c r="K27" s="97"/>
      <c r="L27" s="97"/>
      <c r="M27" s="98"/>
      <c r="N27" s="58" t="s">
        <v>68</v>
      </c>
      <c r="O27" s="59">
        <v>100</v>
      </c>
      <c r="P27" s="60">
        <v>27.266999999999996</v>
      </c>
      <c r="Q27" s="62">
        <f t="shared" si="0"/>
        <v>2726.7</v>
      </c>
    </row>
    <row r="28" spans="2:17" ht="40.5" customHeight="1">
      <c r="B28" s="75" t="s">
        <v>81</v>
      </c>
      <c r="C28" s="74"/>
      <c r="D28" s="77" t="s">
        <v>131</v>
      </c>
      <c r="E28" s="96" t="s">
        <v>141</v>
      </c>
      <c r="F28" s="97"/>
      <c r="G28" s="97"/>
      <c r="H28" s="97"/>
      <c r="I28" s="97"/>
      <c r="J28" s="97"/>
      <c r="K28" s="97"/>
      <c r="L28" s="97"/>
      <c r="M28" s="98"/>
      <c r="N28" s="58" t="s">
        <v>68</v>
      </c>
      <c r="O28" s="59">
        <v>50</v>
      </c>
      <c r="P28" s="60">
        <v>17.399999999999999</v>
      </c>
      <c r="Q28" s="62">
        <f t="shared" si="0"/>
        <v>869.99999999999989</v>
      </c>
    </row>
    <row r="29" spans="2:17" ht="40.5" customHeight="1">
      <c r="B29" s="90" t="s">
        <v>82</v>
      </c>
      <c r="C29" s="74"/>
      <c r="D29" s="77" t="s">
        <v>131</v>
      </c>
      <c r="E29" s="96" t="s">
        <v>142</v>
      </c>
      <c r="F29" s="97"/>
      <c r="G29" s="97"/>
      <c r="H29" s="97"/>
      <c r="I29" s="97"/>
      <c r="J29" s="97"/>
      <c r="K29" s="97"/>
      <c r="L29" s="97"/>
      <c r="M29" s="98"/>
      <c r="N29" s="58" t="s">
        <v>68</v>
      </c>
      <c r="O29" s="59">
        <v>60</v>
      </c>
      <c r="P29" s="60">
        <v>11.08</v>
      </c>
      <c r="Q29" s="62">
        <f t="shared" si="0"/>
        <v>664.8</v>
      </c>
    </row>
    <row r="30" spans="2:17" ht="40.5" customHeight="1">
      <c r="B30" s="90" t="s">
        <v>83</v>
      </c>
      <c r="C30" s="74"/>
      <c r="D30" s="77" t="s">
        <v>131</v>
      </c>
      <c r="E30" s="96" t="s">
        <v>143</v>
      </c>
      <c r="F30" s="97"/>
      <c r="G30" s="97"/>
      <c r="H30" s="97"/>
      <c r="I30" s="97"/>
      <c r="J30" s="97"/>
      <c r="K30" s="97"/>
      <c r="L30" s="97"/>
      <c r="M30" s="98"/>
      <c r="N30" s="58" t="s">
        <v>68</v>
      </c>
      <c r="O30" s="59">
        <v>60</v>
      </c>
      <c r="P30" s="60">
        <v>10.61</v>
      </c>
      <c r="Q30" s="62">
        <f t="shared" si="0"/>
        <v>636.59999999999991</v>
      </c>
    </row>
    <row r="31" spans="2:17" ht="40.5" customHeight="1">
      <c r="B31" s="90" t="s">
        <v>84</v>
      </c>
      <c r="C31" s="74"/>
      <c r="D31" s="77" t="s">
        <v>131</v>
      </c>
      <c r="E31" s="96" t="s">
        <v>144</v>
      </c>
      <c r="F31" s="97"/>
      <c r="G31" s="97"/>
      <c r="H31" s="97"/>
      <c r="I31" s="97"/>
      <c r="J31" s="97"/>
      <c r="K31" s="97"/>
      <c r="L31" s="97"/>
      <c r="M31" s="98"/>
      <c r="N31" s="58" t="s">
        <v>68</v>
      </c>
      <c r="O31" s="59">
        <v>100</v>
      </c>
      <c r="P31" s="60">
        <v>5.42</v>
      </c>
      <c r="Q31" s="62">
        <f t="shared" si="0"/>
        <v>542</v>
      </c>
    </row>
    <row r="32" spans="2:17" ht="40.5" customHeight="1">
      <c r="B32" s="90" t="s">
        <v>85</v>
      </c>
      <c r="C32" s="74"/>
      <c r="D32" s="77" t="s">
        <v>131</v>
      </c>
      <c r="E32" s="96" t="s">
        <v>145</v>
      </c>
      <c r="F32" s="97"/>
      <c r="G32" s="97"/>
      <c r="H32" s="97"/>
      <c r="I32" s="97"/>
      <c r="J32" s="97"/>
      <c r="K32" s="97"/>
      <c r="L32" s="97"/>
      <c r="M32" s="98"/>
      <c r="N32" s="58" t="s">
        <v>68</v>
      </c>
      <c r="O32" s="59">
        <v>120</v>
      </c>
      <c r="P32" s="60">
        <v>3.28</v>
      </c>
      <c r="Q32" s="62">
        <f t="shared" si="0"/>
        <v>393.59999999999997</v>
      </c>
    </row>
    <row r="33" spans="2:17" ht="40.5" customHeight="1">
      <c r="B33" s="75" t="s">
        <v>86</v>
      </c>
      <c r="C33" s="74"/>
      <c r="D33" s="77" t="s">
        <v>131</v>
      </c>
      <c r="E33" s="96" t="s">
        <v>146</v>
      </c>
      <c r="F33" s="97"/>
      <c r="G33" s="97"/>
      <c r="H33" s="97"/>
      <c r="I33" s="97"/>
      <c r="J33" s="97"/>
      <c r="K33" s="97"/>
      <c r="L33" s="97"/>
      <c r="M33" s="98"/>
      <c r="N33" s="58" t="s">
        <v>68</v>
      </c>
      <c r="O33" s="59">
        <v>350</v>
      </c>
      <c r="P33" s="60">
        <v>3.01</v>
      </c>
      <c r="Q33" s="62">
        <f t="shared" si="0"/>
        <v>1053.5</v>
      </c>
    </row>
    <row r="34" spans="2:17" ht="40.5" customHeight="1">
      <c r="B34" s="90" t="s">
        <v>87</v>
      </c>
      <c r="C34" s="74"/>
      <c r="D34" s="77" t="s">
        <v>131</v>
      </c>
      <c r="E34" s="96" t="s">
        <v>147</v>
      </c>
      <c r="F34" s="97"/>
      <c r="G34" s="97"/>
      <c r="H34" s="97"/>
      <c r="I34" s="97"/>
      <c r="J34" s="97"/>
      <c r="K34" s="97"/>
      <c r="L34" s="97"/>
      <c r="M34" s="98"/>
      <c r="N34" s="58" t="s">
        <v>68</v>
      </c>
      <c r="O34" s="59">
        <v>30</v>
      </c>
      <c r="P34" s="60">
        <v>20.39</v>
      </c>
      <c r="Q34" s="62">
        <f t="shared" si="0"/>
        <v>611.70000000000005</v>
      </c>
    </row>
    <row r="35" spans="2:17" ht="40.5" customHeight="1">
      <c r="B35" s="90" t="s">
        <v>88</v>
      </c>
      <c r="C35" s="74"/>
      <c r="D35" s="77" t="s">
        <v>131</v>
      </c>
      <c r="E35" s="96" t="s">
        <v>148</v>
      </c>
      <c r="F35" s="97"/>
      <c r="G35" s="97"/>
      <c r="H35" s="97"/>
      <c r="I35" s="97"/>
      <c r="J35" s="97"/>
      <c r="K35" s="97"/>
      <c r="L35" s="97"/>
      <c r="M35" s="98"/>
      <c r="N35" s="58" t="s">
        <v>68</v>
      </c>
      <c r="O35" s="59">
        <v>70</v>
      </c>
      <c r="P35" s="60">
        <v>15.41</v>
      </c>
      <c r="Q35" s="62">
        <f t="shared" si="0"/>
        <v>1078.7</v>
      </c>
    </row>
    <row r="36" spans="2:17" ht="40.5" customHeight="1">
      <c r="B36" s="90" t="s">
        <v>69</v>
      </c>
      <c r="C36" s="74"/>
      <c r="D36" s="77" t="s">
        <v>131</v>
      </c>
      <c r="E36" s="96" t="s">
        <v>149</v>
      </c>
      <c r="F36" s="97"/>
      <c r="G36" s="97"/>
      <c r="H36" s="97"/>
      <c r="I36" s="97"/>
      <c r="J36" s="97"/>
      <c r="K36" s="97"/>
      <c r="L36" s="97"/>
      <c r="M36" s="98"/>
      <c r="N36" s="58" t="s">
        <v>68</v>
      </c>
      <c r="O36" s="59">
        <v>70</v>
      </c>
      <c r="P36" s="60">
        <v>12.24</v>
      </c>
      <c r="Q36" s="62">
        <f t="shared" si="0"/>
        <v>856.80000000000007</v>
      </c>
    </row>
    <row r="37" spans="2:17" ht="40.5" customHeight="1">
      <c r="B37" s="90" t="s">
        <v>89</v>
      </c>
      <c r="C37" s="74"/>
      <c r="D37" s="77" t="s">
        <v>131</v>
      </c>
      <c r="E37" s="96" t="s">
        <v>150</v>
      </c>
      <c r="F37" s="97"/>
      <c r="G37" s="97"/>
      <c r="H37" s="97"/>
      <c r="I37" s="97"/>
      <c r="J37" s="97"/>
      <c r="K37" s="97"/>
      <c r="L37" s="97"/>
      <c r="M37" s="98"/>
      <c r="N37" s="58" t="s">
        <v>68</v>
      </c>
      <c r="O37" s="59">
        <v>150</v>
      </c>
      <c r="P37" s="60">
        <v>8.8699999999999992</v>
      </c>
      <c r="Q37" s="62">
        <f t="shared" si="0"/>
        <v>1330.4999999999998</v>
      </c>
    </row>
    <row r="38" spans="2:17" ht="40.5" customHeight="1">
      <c r="B38" s="90" t="s">
        <v>90</v>
      </c>
      <c r="C38" s="74"/>
      <c r="D38" s="77" t="s">
        <v>131</v>
      </c>
      <c r="E38" s="96" t="s">
        <v>151</v>
      </c>
      <c r="F38" s="97"/>
      <c r="G38" s="97"/>
      <c r="H38" s="97"/>
      <c r="I38" s="97"/>
      <c r="J38" s="97"/>
      <c r="K38" s="97"/>
      <c r="L38" s="97"/>
      <c r="M38" s="98"/>
      <c r="N38" s="58" t="s">
        <v>68</v>
      </c>
      <c r="O38" s="59">
        <v>200</v>
      </c>
      <c r="P38" s="60">
        <v>7.21</v>
      </c>
      <c r="Q38" s="62">
        <f t="shared" si="0"/>
        <v>1442</v>
      </c>
    </row>
    <row r="39" spans="2:17" ht="40.5" customHeight="1">
      <c r="B39" s="90" t="s">
        <v>91</v>
      </c>
      <c r="C39" s="74"/>
      <c r="D39" s="77" t="s">
        <v>131</v>
      </c>
      <c r="E39" s="96" t="s">
        <v>152</v>
      </c>
      <c r="F39" s="97"/>
      <c r="G39" s="97"/>
      <c r="H39" s="97"/>
      <c r="I39" s="97"/>
      <c r="J39" s="97"/>
      <c r="K39" s="97"/>
      <c r="L39" s="97"/>
      <c r="M39" s="98"/>
      <c r="N39" s="58" t="s">
        <v>68</v>
      </c>
      <c r="O39" s="59">
        <v>300</v>
      </c>
      <c r="P39" s="60">
        <v>3.9980000000000002</v>
      </c>
      <c r="Q39" s="62">
        <f t="shared" si="0"/>
        <v>1199.4000000000001</v>
      </c>
    </row>
    <row r="40" spans="2:17" ht="40.5" customHeight="1">
      <c r="B40" s="75" t="s">
        <v>92</v>
      </c>
      <c r="C40" s="74"/>
      <c r="D40" s="77" t="s">
        <v>131</v>
      </c>
      <c r="E40" s="96" t="s">
        <v>153</v>
      </c>
      <c r="F40" s="97"/>
      <c r="G40" s="97"/>
      <c r="H40" s="97"/>
      <c r="I40" s="97"/>
      <c r="J40" s="97"/>
      <c r="K40" s="97"/>
      <c r="L40" s="97"/>
      <c r="M40" s="98"/>
      <c r="N40" s="58" t="s">
        <v>68</v>
      </c>
      <c r="O40" s="59">
        <v>30</v>
      </c>
      <c r="P40" s="60">
        <v>11.15</v>
      </c>
      <c r="Q40" s="62">
        <f t="shared" si="0"/>
        <v>334.5</v>
      </c>
    </row>
    <row r="41" spans="2:17" ht="40.5" customHeight="1">
      <c r="B41" s="90" t="s">
        <v>93</v>
      </c>
      <c r="C41" s="74"/>
      <c r="D41" s="77" t="s">
        <v>131</v>
      </c>
      <c r="E41" s="96" t="s">
        <v>154</v>
      </c>
      <c r="F41" s="97"/>
      <c r="G41" s="97"/>
      <c r="H41" s="97"/>
      <c r="I41" s="97"/>
      <c r="J41" s="97"/>
      <c r="K41" s="97"/>
      <c r="L41" s="97"/>
      <c r="M41" s="98"/>
      <c r="N41" s="58" t="s">
        <v>68</v>
      </c>
      <c r="O41" s="59">
        <v>60</v>
      </c>
      <c r="P41" s="60">
        <v>8.65</v>
      </c>
      <c r="Q41" s="62">
        <f t="shared" si="0"/>
        <v>519</v>
      </c>
    </row>
    <row r="42" spans="2:17" ht="40.5" customHeight="1">
      <c r="B42" s="90" t="s">
        <v>94</v>
      </c>
      <c r="C42" s="74"/>
      <c r="D42" s="77" t="s">
        <v>131</v>
      </c>
      <c r="E42" s="96" t="s">
        <v>155</v>
      </c>
      <c r="F42" s="97"/>
      <c r="G42" s="97"/>
      <c r="H42" s="97"/>
      <c r="I42" s="97"/>
      <c r="J42" s="97"/>
      <c r="K42" s="97"/>
      <c r="L42" s="97"/>
      <c r="M42" s="98"/>
      <c r="N42" s="58" t="s">
        <v>68</v>
      </c>
      <c r="O42" s="59">
        <v>60</v>
      </c>
      <c r="P42" s="60">
        <v>6.25</v>
      </c>
      <c r="Q42" s="62">
        <f t="shared" si="0"/>
        <v>375</v>
      </c>
    </row>
    <row r="43" spans="2:17" ht="40.5" customHeight="1">
      <c r="B43" s="90" t="s">
        <v>95</v>
      </c>
      <c r="C43" s="74"/>
      <c r="D43" s="77" t="s">
        <v>131</v>
      </c>
      <c r="E43" s="96" t="s">
        <v>156</v>
      </c>
      <c r="F43" s="97"/>
      <c r="G43" s="97"/>
      <c r="H43" s="97"/>
      <c r="I43" s="97"/>
      <c r="J43" s="97"/>
      <c r="K43" s="97"/>
      <c r="L43" s="97"/>
      <c r="M43" s="98"/>
      <c r="N43" s="58" t="s">
        <v>68</v>
      </c>
      <c r="O43" s="59">
        <v>60</v>
      </c>
      <c r="P43" s="60">
        <v>3.02</v>
      </c>
      <c r="Q43" s="62">
        <f t="shared" si="0"/>
        <v>181.2</v>
      </c>
    </row>
    <row r="44" spans="2:17" ht="40.5" customHeight="1">
      <c r="B44" s="90" t="s">
        <v>69</v>
      </c>
      <c r="C44" s="74"/>
      <c r="D44" s="77" t="s">
        <v>131</v>
      </c>
      <c r="E44" s="96" t="s">
        <v>157</v>
      </c>
      <c r="F44" s="97"/>
      <c r="G44" s="97"/>
      <c r="H44" s="97"/>
      <c r="I44" s="97"/>
      <c r="J44" s="97"/>
      <c r="K44" s="97"/>
      <c r="L44" s="97"/>
      <c r="M44" s="98"/>
      <c r="N44" s="58" t="s">
        <v>68</v>
      </c>
      <c r="O44" s="59">
        <v>70</v>
      </c>
      <c r="P44" s="60">
        <v>2.96</v>
      </c>
      <c r="Q44" s="62">
        <f t="shared" si="0"/>
        <v>207.2</v>
      </c>
    </row>
    <row r="45" spans="2:17" ht="40.5" customHeight="1">
      <c r="B45" s="75" t="s">
        <v>69</v>
      </c>
      <c r="C45" s="74"/>
      <c r="D45" s="77" t="s">
        <v>131</v>
      </c>
      <c r="E45" s="96" t="s">
        <v>158</v>
      </c>
      <c r="F45" s="97"/>
      <c r="G45" s="97"/>
      <c r="H45" s="97"/>
      <c r="I45" s="97"/>
      <c r="J45" s="97"/>
      <c r="K45" s="97"/>
      <c r="L45" s="97"/>
      <c r="M45" s="98"/>
      <c r="N45" s="58" t="s">
        <v>68</v>
      </c>
      <c r="O45" s="59">
        <v>200</v>
      </c>
      <c r="P45" s="60">
        <v>1.54</v>
      </c>
      <c r="Q45" s="62">
        <f t="shared" si="0"/>
        <v>308</v>
      </c>
    </row>
    <row r="46" spans="2:17" ht="40.5" customHeight="1">
      <c r="B46" s="90" t="s">
        <v>69</v>
      </c>
      <c r="C46" s="74"/>
      <c r="D46" s="77" t="s">
        <v>131</v>
      </c>
      <c r="E46" s="96" t="s">
        <v>159</v>
      </c>
      <c r="F46" s="97"/>
      <c r="G46" s="97"/>
      <c r="H46" s="97"/>
      <c r="I46" s="97"/>
      <c r="J46" s="97"/>
      <c r="K46" s="97"/>
      <c r="L46" s="97"/>
      <c r="M46" s="98"/>
      <c r="N46" s="58" t="s">
        <v>68</v>
      </c>
      <c r="O46" s="59">
        <v>300</v>
      </c>
      <c r="P46" s="60">
        <v>0.76</v>
      </c>
      <c r="Q46" s="62">
        <f t="shared" ref="Q46" si="1">P46*O46</f>
        <v>228</v>
      </c>
    </row>
    <row r="47" spans="2:17" ht="40.5" customHeight="1">
      <c r="B47" s="90" t="s">
        <v>96</v>
      </c>
      <c r="C47" s="74"/>
      <c r="D47" s="77" t="s">
        <v>131</v>
      </c>
      <c r="E47" s="96" t="s">
        <v>160</v>
      </c>
      <c r="F47" s="97"/>
      <c r="G47" s="97"/>
      <c r="H47" s="97"/>
      <c r="I47" s="97"/>
      <c r="J47" s="97"/>
      <c r="K47" s="97"/>
      <c r="L47" s="97"/>
      <c r="M47" s="98"/>
      <c r="N47" s="58" t="s">
        <v>68</v>
      </c>
      <c r="O47" s="59">
        <v>70</v>
      </c>
      <c r="P47" s="60">
        <v>4.05</v>
      </c>
      <c r="Q47" s="62">
        <f>P47*O47</f>
        <v>283.5</v>
      </c>
    </row>
    <row r="48" spans="2:17" ht="40.5" customHeight="1">
      <c r="B48" s="90" t="s">
        <v>97</v>
      </c>
      <c r="C48" s="74"/>
      <c r="D48" s="77" t="s">
        <v>131</v>
      </c>
      <c r="E48" s="96" t="s">
        <v>161</v>
      </c>
      <c r="F48" s="97"/>
      <c r="G48" s="97"/>
      <c r="H48" s="97"/>
      <c r="I48" s="97"/>
      <c r="J48" s="97"/>
      <c r="K48" s="97"/>
      <c r="L48" s="97"/>
      <c r="M48" s="98"/>
      <c r="N48" s="58" t="s">
        <v>68</v>
      </c>
      <c r="O48" s="59">
        <v>100</v>
      </c>
      <c r="P48" s="60">
        <v>2.29</v>
      </c>
      <c r="Q48" s="62">
        <f>P48*O48</f>
        <v>229</v>
      </c>
    </row>
    <row r="49" spans="2:17" ht="40.5" customHeight="1">
      <c r="B49" s="90" t="s">
        <v>98</v>
      </c>
      <c r="C49" s="74"/>
      <c r="D49" s="77" t="s">
        <v>131</v>
      </c>
      <c r="E49" s="96" t="s">
        <v>162</v>
      </c>
      <c r="F49" s="97"/>
      <c r="G49" s="97"/>
      <c r="H49" s="97"/>
      <c r="I49" s="97"/>
      <c r="J49" s="97"/>
      <c r="K49" s="97"/>
      <c r="L49" s="97"/>
      <c r="M49" s="98"/>
      <c r="N49" s="58" t="s">
        <v>68</v>
      </c>
      <c r="O49" s="59">
        <v>350</v>
      </c>
      <c r="P49" s="60">
        <v>1.1499999999999999</v>
      </c>
      <c r="Q49" s="62">
        <f>P49*O49</f>
        <v>402.49999999999994</v>
      </c>
    </row>
    <row r="50" spans="2:17" ht="40.5" customHeight="1">
      <c r="B50" s="75" t="s">
        <v>99</v>
      </c>
      <c r="C50" s="74"/>
      <c r="D50" s="77" t="s">
        <v>131</v>
      </c>
      <c r="E50" s="96" t="s">
        <v>163</v>
      </c>
      <c r="F50" s="97"/>
      <c r="G50" s="97"/>
      <c r="H50" s="97"/>
      <c r="I50" s="97"/>
      <c r="J50" s="97"/>
      <c r="K50" s="97"/>
      <c r="L50" s="97"/>
      <c r="M50" s="98"/>
      <c r="N50" s="58" t="s">
        <v>68</v>
      </c>
      <c r="O50" s="59">
        <v>200</v>
      </c>
      <c r="P50" s="60">
        <v>1.1499999999999999</v>
      </c>
      <c r="Q50" s="62">
        <f>P50*O50</f>
        <v>229.99999999999997</v>
      </c>
    </row>
    <row r="51" spans="2:17" ht="40.5" customHeight="1">
      <c r="B51" s="90" t="s">
        <v>100</v>
      </c>
      <c r="C51" s="74"/>
      <c r="D51" s="77" t="s">
        <v>131</v>
      </c>
      <c r="E51" s="96" t="s">
        <v>164</v>
      </c>
      <c r="F51" s="97"/>
      <c r="G51" s="97"/>
      <c r="H51" s="97"/>
      <c r="I51" s="97"/>
      <c r="J51" s="97"/>
      <c r="K51" s="97"/>
      <c r="L51" s="97"/>
      <c r="M51" s="98"/>
      <c r="N51" s="58" t="s">
        <v>68</v>
      </c>
      <c r="O51" s="59">
        <v>50</v>
      </c>
      <c r="P51" s="60">
        <v>14.59</v>
      </c>
      <c r="Q51" s="62">
        <f t="shared" ref="Q51" si="2">P51*O51</f>
        <v>729.5</v>
      </c>
    </row>
    <row r="52" spans="2:17" ht="40.5" customHeight="1">
      <c r="B52" s="90" t="s">
        <v>101</v>
      </c>
      <c r="C52" s="74"/>
      <c r="D52" s="77" t="s">
        <v>131</v>
      </c>
      <c r="E52" s="96" t="s">
        <v>165</v>
      </c>
      <c r="F52" s="97"/>
      <c r="G52" s="97"/>
      <c r="H52" s="97"/>
      <c r="I52" s="97"/>
      <c r="J52" s="97"/>
      <c r="K52" s="97"/>
      <c r="L52" s="97"/>
      <c r="M52" s="98"/>
      <c r="N52" s="58" t="s">
        <v>68</v>
      </c>
      <c r="O52" s="59">
        <v>50</v>
      </c>
      <c r="P52" s="60">
        <v>11.96</v>
      </c>
      <c r="Q52" s="62">
        <f>P52*O52</f>
        <v>598</v>
      </c>
    </row>
    <row r="53" spans="2:17" ht="40.5" customHeight="1">
      <c r="B53" s="90" t="s">
        <v>102</v>
      </c>
      <c r="C53" s="74"/>
      <c r="D53" s="77" t="s">
        <v>131</v>
      </c>
      <c r="E53" s="96" t="s">
        <v>166</v>
      </c>
      <c r="F53" s="97"/>
      <c r="G53" s="97"/>
      <c r="H53" s="97"/>
      <c r="I53" s="97"/>
      <c r="J53" s="97"/>
      <c r="K53" s="97"/>
      <c r="L53" s="97"/>
      <c r="M53" s="98"/>
      <c r="N53" s="58" t="s">
        <v>68</v>
      </c>
      <c r="O53" s="59">
        <v>70</v>
      </c>
      <c r="P53" s="60">
        <v>7.52</v>
      </c>
      <c r="Q53" s="62">
        <f>P53*O53</f>
        <v>526.4</v>
      </c>
    </row>
    <row r="54" spans="2:17" ht="40.5" customHeight="1">
      <c r="B54" s="90" t="s">
        <v>103</v>
      </c>
      <c r="C54" s="74"/>
      <c r="D54" s="77" t="s">
        <v>131</v>
      </c>
      <c r="E54" s="96" t="s">
        <v>167</v>
      </c>
      <c r="F54" s="97"/>
      <c r="G54" s="97"/>
      <c r="H54" s="97"/>
      <c r="I54" s="97"/>
      <c r="J54" s="97"/>
      <c r="K54" s="97"/>
      <c r="L54" s="97"/>
      <c r="M54" s="98"/>
      <c r="N54" s="58" t="s">
        <v>68</v>
      </c>
      <c r="O54" s="59">
        <v>100</v>
      </c>
      <c r="P54" s="60">
        <v>4.01</v>
      </c>
      <c r="Q54" s="62">
        <f t="shared" ref="Q54" si="3">P54*O54</f>
        <v>401</v>
      </c>
    </row>
    <row r="55" spans="2:17" ht="40.5" customHeight="1">
      <c r="B55" s="90" t="s">
        <v>104</v>
      </c>
      <c r="C55" s="74"/>
      <c r="D55" s="77" t="s">
        <v>131</v>
      </c>
      <c r="E55" s="96" t="s">
        <v>168</v>
      </c>
      <c r="F55" s="97"/>
      <c r="G55" s="97"/>
      <c r="H55" s="97"/>
      <c r="I55" s="97"/>
      <c r="J55" s="97"/>
      <c r="K55" s="97"/>
      <c r="L55" s="97"/>
      <c r="M55" s="98"/>
      <c r="N55" s="58" t="s">
        <v>68</v>
      </c>
      <c r="O55" s="59">
        <v>200</v>
      </c>
      <c r="P55" s="60">
        <v>3.72</v>
      </c>
      <c r="Q55" s="62">
        <f>P55*O55</f>
        <v>744</v>
      </c>
    </row>
    <row r="56" spans="2:17" ht="40.5" customHeight="1">
      <c r="B56" s="90" t="s">
        <v>105</v>
      </c>
      <c r="C56" s="74"/>
      <c r="D56" s="77" t="s">
        <v>131</v>
      </c>
      <c r="E56" s="96" t="s">
        <v>169</v>
      </c>
      <c r="F56" s="97"/>
      <c r="G56" s="97"/>
      <c r="H56" s="97"/>
      <c r="I56" s="97"/>
      <c r="J56" s="97"/>
      <c r="K56" s="97"/>
      <c r="L56" s="97"/>
      <c r="M56" s="98"/>
      <c r="N56" s="58" t="s">
        <v>68</v>
      </c>
      <c r="O56" s="59">
        <v>100</v>
      </c>
      <c r="P56" s="60">
        <v>5.21</v>
      </c>
      <c r="Q56" s="62">
        <f>P56*O56</f>
        <v>521</v>
      </c>
    </row>
    <row r="57" spans="2:17" ht="40.5" customHeight="1">
      <c r="B57" s="90" t="s">
        <v>106</v>
      </c>
      <c r="C57" s="74"/>
      <c r="D57" s="77" t="s">
        <v>131</v>
      </c>
      <c r="E57" s="96" t="s">
        <v>170</v>
      </c>
      <c r="F57" s="97"/>
      <c r="G57" s="97"/>
      <c r="H57" s="97"/>
      <c r="I57" s="97"/>
      <c r="J57" s="97"/>
      <c r="K57" s="97"/>
      <c r="L57" s="97"/>
      <c r="M57" s="98"/>
      <c r="N57" s="58" t="s">
        <v>68</v>
      </c>
      <c r="O57" s="59">
        <v>150</v>
      </c>
      <c r="P57" s="60">
        <v>2.4</v>
      </c>
      <c r="Q57" s="62">
        <f>P57*O57</f>
        <v>360</v>
      </c>
    </row>
    <row r="58" spans="2:17" ht="40.5" customHeight="1">
      <c r="B58" s="75" t="s">
        <v>107</v>
      </c>
      <c r="C58" s="74"/>
      <c r="D58" s="77" t="s">
        <v>131</v>
      </c>
      <c r="E58" s="96" t="s">
        <v>171</v>
      </c>
      <c r="F58" s="97"/>
      <c r="G58" s="97"/>
      <c r="H58" s="97"/>
      <c r="I58" s="97"/>
      <c r="J58" s="97"/>
      <c r="K58" s="97"/>
      <c r="L58" s="97"/>
      <c r="M58" s="98"/>
      <c r="N58" s="58" t="s">
        <v>68</v>
      </c>
      <c r="O58" s="59">
        <v>150</v>
      </c>
      <c r="P58" s="60">
        <v>1.66</v>
      </c>
      <c r="Q58" s="62">
        <f>P58*O58</f>
        <v>249</v>
      </c>
    </row>
    <row r="59" spans="2:17" ht="40.5" customHeight="1">
      <c r="B59" s="90" t="s">
        <v>108</v>
      </c>
      <c r="C59" s="74"/>
      <c r="D59" s="77" t="s">
        <v>131</v>
      </c>
      <c r="E59" s="96" t="s">
        <v>172</v>
      </c>
      <c r="F59" s="97"/>
      <c r="G59" s="97"/>
      <c r="H59" s="97"/>
      <c r="I59" s="97"/>
      <c r="J59" s="97"/>
      <c r="K59" s="97"/>
      <c r="L59" s="97"/>
      <c r="M59" s="98"/>
      <c r="N59" s="58" t="s">
        <v>68</v>
      </c>
      <c r="O59" s="59">
        <v>80</v>
      </c>
      <c r="P59" s="60">
        <v>5.64</v>
      </c>
      <c r="Q59" s="62">
        <f t="shared" ref="Q59" si="4">P59*O59</f>
        <v>451.2</v>
      </c>
    </row>
    <row r="60" spans="2:17" ht="40.5" customHeight="1">
      <c r="B60" s="90" t="s">
        <v>109</v>
      </c>
      <c r="C60" s="74"/>
      <c r="D60" s="77" t="s">
        <v>131</v>
      </c>
      <c r="E60" s="96" t="s">
        <v>173</v>
      </c>
      <c r="F60" s="97"/>
      <c r="G60" s="97"/>
      <c r="H60" s="97"/>
      <c r="I60" s="97"/>
      <c r="J60" s="97"/>
      <c r="K60" s="97"/>
      <c r="L60" s="97"/>
      <c r="M60" s="98"/>
      <c r="N60" s="58" t="s">
        <v>68</v>
      </c>
      <c r="O60" s="59">
        <v>40</v>
      </c>
      <c r="P60" s="60">
        <v>13.05</v>
      </c>
      <c r="Q60" s="62">
        <f>P60*O60</f>
        <v>522</v>
      </c>
    </row>
    <row r="61" spans="2:17" ht="40.5" customHeight="1">
      <c r="B61" s="90" t="s">
        <v>110</v>
      </c>
      <c r="C61" s="74"/>
      <c r="D61" s="77" t="s">
        <v>131</v>
      </c>
      <c r="E61" s="96" t="s">
        <v>174</v>
      </c>
      <c r="F61" s="97"/>
      <c r="G61" s="97"/>
      <c r="H61" s="97"/>
      <c r="I61" s="97"/>
      <c r="J61" s="97"/>
      <c r="K61" s="97"/>
      <c r="L61" s="97"/>
      <c r="M61" s="98"/>
      <c r="N61" s="58" t="s">
        <v>68</v>
      </c>
      <c r="O61" s="59">
        <v>40</v>
      </c>
      <c r="P61" s="60">
        <v>7.34</v>
      </c>
      <c r="Q61" s="62">
        <f>P61*O61</f>
        <v>293.60000000000002</v>
      </c>
    </row>
    <row r="62" spans="2:17" ht="40.5" customHeight="1">
      <c r="B62" s="90" t="s">
        <v>111</v>
      </c>
      <c r="C62" s="74"/>
      <c r="D62" s="77" t="s">
        <v>131</v>
      </c>
      <c r="E62" s="96" t="s">
        <v>175</v>
      </c>
      <c r="F62" s="97"/>
      <c r="G62" s="97"/>
      <c r="H62" s="97"/>
      <c r="I62" s="97"/>
      <c r="J62" s="97"/>
      <c r="K62" s="97"/>
      <c r="L62" s="97"/>
      <c r="M62" s="98"/>
      <c r="N62" s="58" t="s">
        <v>68</v>
      </c>
      <c r="O62" s="59">
        <v>80</v>
      </c>
      <c r="P62" s="60">
        <v>5.64</v>
      </c>
      <c r="Q62" s="62">
        <f>P62*O62</f>
        <v>451.2</v>
      </c>
    </row>
    <row r="63" spans="2:17" ht="40.5" customHeight="1">
      <c r="B63" s="75" t="s">
        <v>112</v>
      </c>
      <c r="C63" s="74"/>
      <c r="D63" s="77" t="s">
        <v>131</v>
      </c>
      <c r="E63" s="96" t="s">
        <v>176</v>
      </c>
      <c r="F63" s="97"/>
      <c r="G63" s="97"/>
      <c r="H63" s="97"/>
      <c r="I63" s="97"/>
      <c r="J63" s="97"/>
      <c r="K63" s="97"/>
      <c r="L63" s="97"/>
      <c r="M63" s="98"/>
      <c r="N63" s="58" t="s">
        <v>68</v>
      </c>
      <c r="O63" s="59">
        <v>100</v>
      </c>
      <c r="P63" s="60">
        <v>3.2</v>
      </c>
      <c r="Q63" s="62">
        <f>P63*O63</f>
        <v>320</v>
      </c>
    </row>
    <row r="64" spans="2:17" ht="40.5" customHeight="1">
      <c r="B64" s="90" t="s">
        <v>113</v>
      </c>
      <c r="C64" s="74"/>
      <c r="D64" s="77" t="s">
        <v>131</v>
      </c>
      <c r="E64" s="96" t="s">
        <v>177</v>
      </c>
      <c r="F64" s="97"/>
      <c r="G64" s="97"/>
      <c r="H64" s="97"/>
      <c r="I64" s="97"/>
      <c r="J64" s="97"/>
      <c r="K64" s="97"/>
      <c r="L64" s="97"/>
      <c r="M64" s="98"/>
      <c r="N64" s="58" t="s">
        <v>68</v>
      </c>
      <c r="O64" s="59">
        <v>50</v>
      </c>
      <c r="P64" s="60">
        <v>1.4</v>
      </c>
      <c r="Q64" s="62">
        <f t="shared" ref="Q64" si="5">P64*O64</f>
        <v>70</v>
      </c>
    </row>
    <row r="65" spans="2:17" ht="40.5" customHeight="1">
      <c r="B65" s="90" t="s">
        <v>114</v>
      </c>
      <c r="C65" s="74"/>
      <c r="D65" s="77" t="s">
        <v>131</v>
      </c>
      <c r="E65" s="96" t="s">
        <v>178</v>
      </c>
      <c r="F65" s="97"/>
      <c r="G65" s="97"/>
      <c r="H65" s="97"/>
      <c r="I65" s="97"/>
      <c r="J65" s="97"/>
      <c r="K65" s="97"/>
      <c r="L65" s="97"/>
      <c r="M65" s="98"/>
      <c r="N65" s="58" t="s">
        <v>68</v>
      </c>
      <c r="O65" s="59">
        <v>100</v>
      </c>
      <c r="P65" s="60">
        <v>0.68</v>
      </c>
      <c r="Q65" s="62">
        <f>P65*O65</f>
        <v>68</v>
      </c>
    </row>
    <row r="66" spans="2:17" ht="40.5" customHeight="1">
      <c r="B66" s="90" t="s">
        <v>115</v>
      </c>
      <c r="C66" s="74"/>
      <c r="D66" s="77" t="s">
        <v>131</v>
      </c>
      <c r="E66" s="96" t="s">
        <v>179</v>
      </c>
      <c r="F66" s="97"/>
      <c r="G66" s="97"/>
      <c r="H66" s="97"/>
      <c r="I66" s="97"/>
      <c r="J66" s="97"/>
      <c r="K66" s="97"/>
      <c r="L66" s="97"/>
      <c r="M66" s="98"/>
      <c r="N66" s="58" t="s">
        <v>68</v>
      </c>
      <c r="O66" s="59">
        <v>20</v>
      </c>
      <c r="P66" s="60">
        <v>53.21</v>
      </c>
      <c r="Q66" s="62">
        <f>P66*O66</f>
        <v>1064.2</v>
      </c>
    </row>
    <row r="67" spans="2:17" ht="40.5" customHeight="1">
      <c r="B67" s="90" t="s">
        <v>116</v>
      </c>
      <c r="C67" s="74"/>
      <c r="D67" s="77" t="s">
        <v>131</v>
      </c>
      <c r="E67" s="96" t="s">
        <v>180</v>
      </c>
      <c r="F67" s="97"/>
      <c r="G67" s="97"/>
      <c r="H67" s="97"/>
      <c r="I67" s="97"/>
      <c r="J67" s="97"/>
      <c r="K67" s="97"/>
      <c r="L67" s="97"/>
      <c r="M67" s="98"/>
      <c r="N67" s="58" t="s">
        <v>68</v>
      </c>
      <c r="O67" s="59">
        <v>40</v>
      </c>
      <c r="P67" s="60">
        <v>10.61</v>
      </c>
      <c r="Q67" s="62">
        <f>P67*O67</f>
        <v>424.4</v>
      </c>
    </row>
    <row r="68" spans="2:17" ht="40.5" customHeight="1">
      <c r="B68" s="75" t="s">
        <v>117</v>
      </c>
      <c r="C68" s="74"/>
      <c r="D68" s="77" t="s">
        <v>131</v>
      </c>
      <c r="E68" s="96" t="s">
        <v>181</v>
      </c>
      <c r="F68" s="97"/>
      <c r="G68" s="97"/>
      <c r="H68" s="97"/>
      <c r="I68" s="97"/>
      <c r="J68" s="97"/>
      <c r="K68" s="97"/>
      <c r="L68" s="97"/>
      <c r="M68" s="98"/>
      <c r="N68" s="58" t="s">
        <v>68</v>
      </c>
      <c r="O68" s="59">
        <v>50</v>
      </c>
      <c r="P68" s="60">
        <v>6.49</v>
      </c>
      <c r="Q68" s="62">
        <f>P68*O68</f>
        <v>324.5</v>
      </c>
    </row>
    <row r="69" spans="2:17" ht="40.5" customHeight="1">
      <c r="B69" s="90" t="s">
        <v>118</v>
      </c>
      <c r="C69" s="74"/>
      <c r="D69" s="77" t="s">
        <v>131</v>
      </c>
      <c r="E69" s="96" t="s">
        <v>182</v>
      </c>
      <c r="F69" s="97"/>
      <c r="G69" s="97"/>
      <c r="H69" s="97"/>
      <c r="I69" s="97"/>
      <c r="J69" s="97"/>
      <c r="K69" s="97"/>
      <c r="L69" s="97"/>
      <c r="M69" s="98"/>
      <c r="N69" s="58" t="s">
        <v>68</v>
      </c>
      <c r="O69" s="59">
        <v>50</v>
      </c>
      <c r="P69" s="60">
        <v>6.25</v>
      </c>
      <c r="Q69" s="62">
        <f t="shared" ref="Q69" si="6">P69*O69</f>
        <v>312.5</v>
      </c>
    </row>
    <row r="70" spans="2:17" ht="40.5" customHeight="1">
      <c r="B70" s="90" t="s">
        <v>119</v>
      </c>
      <c r="C70" s="74"/>
      <c r="D70" s="77" t="s">
        <v>131</v>
      </c>
      <c r="E70" s="96" t="s">
        <v>183</v>
      </c>
      <c r="F70" s="97"/>
      <c r="G70" s="97"/>
      <c r="H70" s="97"/>
      <c r="I70" s="97"/>
      <c r="J70" s="97"/>
      <c r="K70" s="97"/>
      <c r="L70" s="97"/>
      <c r="M70" s="98"/>
      <c r="N70" s="58" t="s">
        <v>68</v>
      </c>
      <c r="O70" s="59">
        <v>80</v>
      </c>
      <c r="P70" s="60">
        <v>4.5599999999999996</v>
      </c>
      <c r="Q70" s="62">
        <f>P70*O70</f>
        <v>364.79999999999995</v>
      </c>
    </row>
    <row r="71" spans="2:17" ht="40.5" customHeight="1">
      <c r="B71" s="90" t="s">
        <v>120</v>
      </c>
      <c r="C71" s="74"/>
      <c r="D71" s="77" t="s">
        <v>131</v>
      </c>
      <c r="E71" s="96" t="s">
        <v>184</v>
      </c>
      <c r="F71" s="97"/>
      <c r="G71" s="97"/>
      <c r="H71" s="97"/>
      <c r="I71" s="97"/>
      <c r="J71" s="97"/>
      <c r="K71" s="97"/>
      <c r="L71" s="97"/>
      <c r="M71" s="98"/>
      <c r="N71" s="58" t="s">
        <v>68</v>
      </c>
      <c r="O71" s="59">
        <v>80</v>
      </c>
      <c r="P71" s="60">
        <v>2.78</v>
      </c>
      <c r="Q71" s="62">
        <f>P71*O71</f>
        <v>222.39999999999998</v>
      </c>
    </row>
    <row r="72" spans="2:17" ht="40.5" customHeight="1">
      <c r="B72" s="90" t="s">
        <v>120</v>
      </c>
      <c r="C72" s="74"/>
      <c r="D72" s="77" t="s">
        <v>131</v>
      </c>
      <c r="E72" s="96" t="s">
        <v>185</v>
      </c>
      <c r="F72" s="97"/>
      <c r="G72" s="97"/>
      <c r="H72" s="97"/>
      <c r="I72" s="97"/>
      <c r="J72" s="97"/>
      <c r="K72" s="97"/>
      <c r="L72" s="97"/>
      <c r="M72" s="98"/>
      <c r="N72" s="58" t="s">
        <v>68</v>
      </c>
      <c r="O72" s="59">
        <v>100</v>
      </c>
      <c r="P72" s="60">
        <v>2</v>
      </c>
      <c r="Q72" s="62">
        <f t="shared" ref="Q72" si="7">P72*O72</f>
        <v>200</v>
      </c>
    </row>
    <row r="73" spans="2:17" ht="40.5" customHeight="1">
      <c r="B73" s="90" t="s">
        <v>121</v>
      </c>
      <c r="C73" s="74"/>
      <c r="D73" s="77" t="s">
        <v>131</v>
      </c>
      <c r="E73" s="96" t="s">
        <v>186</v>
      </c>
      <c r="F73" s="97"/>
      <c r="G73" s="97"/>
      <c r="H73" s="97"/>
      <c r="I73" s="97"/>
      <c r="J73" s="97"/>
      <c r="K73" s="97"/>
      <c r="L73" s="97"/>
      <c r="M73" s="98"/>
      <c r="N73" s="58" t="s">
        <v>68</v>
      </c>
      <c r="O73" s="59">
        <v>80</v>
      </c>
      <c r="P73" s="60">
        <v>2.31</v>
      </c>
      <c r="Q73" s="62">
        <f>P73*O73</f>
        <v>184.8</v>
      </c>
    </row>
    <row r="74" spans="2:17" ht="40.5" customHeight="1">
      <c r="B74" s="90" t="s">
        <v>122</v>
      </c>
      <c r="C74" s="74"/>
      <c r="D74" s="77" t="s">
        <v>131</v>
      </c>
      <c r="E74" s="96" t="s">
        <v>187</v>
      </c>
      <c r="F74" s="97"/>
      <c r="G74" s="97"/>
      <c r="H74" s="97"/>
      <c r="I74" s="97"/>
      <c r="J74" s="97"/>
      <c r="K74" s="97"/>
      <c r="L74" s="97"/>
      <c r="M74" s="98"/>
      <c r="N74" s="58" t="s">
        <v>68</v>
      </c>
      <c r="O74" s="59">
        <v>80</v>
      </c>
      <c r="P74" s="60">
        <v>1.06</v>
      </c>
      <c r="Q74" s="62">
        <f>P74*O74</f>
        <v>84.800000000000011</v>
      </c>
    </row>
    <row r="75" spans="2:17" ht="40.5" customHeight="1">
      <c r="B75" s="90" t="s">
        <v>123</v>
      </c>
      <c r="C75" s="74"/>
      <c r="D75" s="77" t="s">
        <v>131</v>
      </c>
      <c r="E75" s="96" t="s">
        <v>188</v>
      </c>
      <c r="F75" s="97"/>
      <c r="G75" s="97"/>
      <c r="H75" s="97"/>
      <c r="I75" s="97"/>
      <c r="J75" s="97"/>
      <c r="K75" s="97"/>
      <c r="L75" s="97"/>
      <c r="M75" s="98"/>
      <c r="N75" s="58" t="s">
        <v>68</v>
      </c>
      <c r="O75" s="59">
        <v>80</v>
      </c>
      <c r="P75" s="60">
        <v>0.82</v>
      </c>
      <c r="Q75" s="62">
        <f>P75*O75</f>
        <v>65.599999999999994</v>
      </c>
    </row>
    <row r="76" spans="2:17" ht="40.5" customHeight="1">
      <c r="B76" s="75" t="s">
        <v>69</v>
      </c>
      <c r="C76" s="74"/>
      <c r="D76" s="77" t="s">
        <v>131</v>
      </c>
      <c r="E76" s="96" t="s">
        <v>189</v>
      </c>
      <c r="F76" s="97"/>
      <c r="G76" s="97"/>
      <c r="H76" s="97"/>
      <c r="I76" s="97"/>
      <c r="J76" s="97"/>
      <c r="K76" s="97"/>
      <c r="L76" s="97"/>
      <c r="M76" s="98"/>
      <c r="N76" s="58" t="s">
        <v>68</v>
      </c>
      <c r="O76" s="59">
        <v>40</v>
      </c>
      <c r="P76" s="60">
        <v>12.7</v>
      </c>
      <c r="Q76" s="62">
        <f>P76*O76</f>
        <v>508</v>
      </c>
    </row>
    <row r="77" spans="2:17" ht="40.5" customHeight="1">
      <c r="B77" s="90" t="s">
        <v>124</v>
      </c>
      <c r="C77" s="74"/>
      <c r="D77" s="77" t="s">
        <v>131</v>
      </c>
      <c r="E77" s="96" t="s">
        <v>190</v>
      </c>
      <c r="F77" s="97"/>
      <c r="G77" s="97"/>
      <c r="H77" s="97"/>
      <c r="I77" s="97"/>
      <c r="J77" s="97"/>
      <c r="K77" s="97"/>
      <c r="L77" s="97"/>
      <c r="M77" s="98"/>
      <c r="N77" s="58" t="s">
        <v>68</v>
      </c>
      <c r="O77" s="59">
        <v>40</v>
      </c>
      <c r="P77" s="60">
        <v>10.09</v>
      </c>
      <c r="Q77" s="62">
        <f t="shared" ref="Q77" si="8">P77*O77</f>
        <v>403.6</v>
      </c>
    </row>
    <row r="78" spans="2:17" ht="40.5" customHeight="1">
      <c r="B78" s="90" t="s">
        <v>125</v>
      </c>
      <c r="C78" s="74"/>
      <c r="D78" s="77" t="s">
        <v>131</v>
      </c>
      <c r="E78" s="96" t="s">
        <v>191</v>
      </c>
      <c r="F78" s="97"/>
      <c r="G78" s="97"/>
      <c r="H78" s="97"/>
      <c r="I78" s="97"/>
      <c r="J78" s="97"/>
      <c r="K78" s="97"/>
      <c r="L78" s="97"/>
      <c r="M78" s="98"/>
      <c r="N78" s="58" t="s">
        <v>68</v>
      </c>
      <c r="O78" s="59">
        <v>30</v>
      </c>
      <c r="P78" s="60">
        <v>72.430000000000007</v>
      </c>
      <c r="Q78" s="62">
        <f>P78*O78</f>
        <v>2172.9</v>
      </c>
    </row>
    <row r="79" spans="2:17" ht="40.5" customHeight="1">
      <c r="B79" s="90" t="s">
        <v>126</v>
      </c>
      <c r="C79" s="74"/>
      <c r="D79" s="77" t="s">
        <v>131</v>
      </c>
      <c r="E79" s="96" t="s">
        <v>192</v>
      </c>
      <c r="F79" s="97"/>
      <c r="G79" s="97"/>
      <c r="H79" s="97"/>
      <c r="I79" s="97"/>
      <c r="J79" s="97"/>
      <c r="K79" s="97"/>
      <c r="L79" s="97"/>
      <c r="M79" s="98"/>
      <c r="N79" s="58" t="s">
        <v>68</v>
      </c>
      <c r="O79" s="59">
        <v>30</v>
      </c>
      <c r="P79" s="60">
        <v>8.9700000000000006</v>
      </c>
      <c r="Q79" s="62">
        <f t="shared" ref="Q79" si="9">P79*O79</f>
        <v>269.10000000000002</v>
      </c>
    </row>
    <row r="80" spans="2:17" ht="40.5" customHeight="1">
      <c r="B80" s="90" t="s">
        <v>127</v>
      </c>
      <c r="C80" s="74"/>
      <c r="D80" s="77" t="s">
        <v>131</v>
      </c>
      <c r="E80" s="96" t="s">
        <v>193</v>
      </c>
      <c r="F80" s="97"/>
      <c r="G80" s="97"/>
      <c r="H80" s="97"/>
      <c r="I80" s="97"/>
      <c r="J80" s="97"/>
      <c r="K80" s="97"/>
      <c r="L80" s="97"/>
      <c r="M80" s="98"/>
      <c r="N80" s="58" t="s">
        <v>68</v>
      </c>
      <c r="O80" s="59">
        <v>20</v>
      </c>
      <c r="P80" s="60">
        <v>7.3</v>
      </c>
      <c r="Q80" s="62">
        <f>P80*O80</f>
        <v>146</v>
      </c>
    </row>
    <row r="81" spans="2:19" ht="40.5" customHeight="1">
      <c r="B81" s="90" t="s">
        <v>128</v>
      </c>
      <c r="C81" s="74"/>
      <c r="D81" s="77" t="s">
        <v>131</v>
      </c>
      <c r="E81" s="96" t="s">
        <v>194</v>
      </c>
      <c r="F81" s="97"/>
      <c r="G81" s="97"/>
      <c r="H81" s="97"/>
      <c r="I81" s="97"/>
      <c r="J81" s="97"/>
      <c r="K81" s="97"/>
      <c r="L81" s="97"/>
      <c r="M81" s="98"/>
      <c r="N81" s="58" t="s">
        <v>68</v>
      </c>
      <c r="O81" s="59">
        <v>20</v>
      </c>
      <c r="P81" s="60">
        <v>6.52</v>
      </c>
      <c r="Q81" s="62">
        <f>P81*O81</f>
        <v>130.39999999999998</v>
      </c>
    </row>
    <row r="82" spans="2:19" ht="40.5" customHeight="1">
      <c r="B82" s="90" t="s">
        <v>129</v>
      </c>
      <c r="C82" s="74"/>
      <c r="D82" s="77" t="s">
        <v>131</v>
      </c>
      <c r="E82" s="96" t="s">
        <v>195</v>
      </c>
      <c r="F82" s="97"/>
      <c r="G82" s="97"/>
      <c r="H82" s="97"/>
      <c r="I82" s="97"/>
      <c r="J82" s="97"/>
      <c r="K82" s="97"/>
      <c r="L82" s="97"/>
      <c r="M82" s="98"/>
      <c r="N82" s="58" t="s">
        <v>68</v>
      </c>
      <c r="O82" s="59">
        <v>25</v>
      </c>
      <c r="P82" s="60">
        <v>4.83</v>
      </c>
      <c r="Q82" s="62">
        <f>P82*O82</f>
        <v>120.75</v>
      </c>
    </row>
    <row r="83" spans="2:19" ht="40.5" customHeight="1">
      <c r="B83" s="75" t="s">
        <v>130</v>
      </c>
      <c r="C83" s="74"/>
      <c r="D83" s="77" t="s">
        <v>131</v>
      </c>
      <c r="E83" s="96" t="s">
        <v>196</v>
      </c>
      <c r="F83" s="97"/>
      <c r="G83" s="97"/>
      <c r="H83" s="97"/>
      <c r="I83" s="97"/>
      <c r="J83" s="97"/>
      <c r="K83" s="97"/>
      <c r="L83" s="97"/>
      <c r="M83" s="98"/>
      <c r="N83" s="58" t="s">
        <v>68</v>
      </c>
      <c r="O83" s="59">
        <v>25</v>
      </c>
      <c r="P83" s="60">
        <v>3.02</v>
      </c>
      <c r="Q83" s="62">
        <f>P83*O83</f>
        <v>75.5</v>
      </c>
    </row>
    <row r="84" spans="2:19" ht="40.5" customHeight="1">
      <c r="B84" s="90" t="s">
        <v>69</v>
      </c>
      <c r="C84" s="74"/>
      <c r="D84" s="77" t="s">
        <v>131</v>
      </c>
      <c r="E84" s="96" t="s">
        <v>197</v>
      </c>
      <c r="F84" s="97"/>
      <c r="G84" s="97"/>
      <c r="H84" s="97"/>
      <c r="I84" s="97"/>
      <c r="J84" s="97"/>
      <c r="K84" s="97"/>
      <c r="L84" s="97"/>
      <c r="M84" s="98"/>
      <c r="N84" s="58" t="s">
        <v>68</v>
      </c>
      <c r="O84" s="59">
        <v>20</v>
      </c>
      <c r="P84" s="60">
        <v>1.72</v>
      </c>
      <c r="Q84" s="62">
        <f>P84*O84</f>
        <v>34.4</v>
      </c>
    </row>
    <row r="85" spans="2:19" ht="40.5" customHeight="1" thickBot="1">
      <c r="B85" s="63"/>
      <c r="C85" s="64"/>
      <c r="D85" s="81"/>
      <c r="E85" s="129"/>
      <c r="F85" s="129"/>
      <c r="G85" s="129"/>
      <c r="H85" s="129"/>
      <c r="I85" s="129"/>
      <c r="J85" s="129"/>
      <c r="K85" s="129"/>
      <c r="L85" s="129"/>
      <c r="M85" s="129"/>
      <c r="N85" s="65"/>
      <c r="O85" s="66"/>
      <c r="P85" s="67"/>
      <c r="Q85" s="68"/>
    </row>
    <row r="86" spans="2:19" ht="21" thickBot="1">
      <c r="C86" s="61"/>
      <c r="D86" s="82"/>
      <c r="E86" s="130"/>
      <c r="F86" s="130"/>
      <c r="G86" s="130"/>
      <c r="H86" s="130"/>
      <c r="I86" s="130"/>
      <c r="J86" s="130"/>
      <c r="K86" s="130"/>
      <c r="L86" s="130"/>
      <c r="M86" s="130"/>
      <c r="N86" s="20" t="s">
        <v>29</v>
      </c>
      <c r="O86" s="131"/>
      <c r="P86" s="131"/>
      <c r="Q86" s="93">
        <f>SUM(Q19:Q85)</f>
        <v>58222.52</v>
      </c>
    </row>
    <row r="87" spans="2:19" ht="21" thickBot="1">
      <c r="C87" s="138" t="s">
        <v>30</v>
      </c>
      <c r="D87" s="139"/>
      <c r="E87" s="139"/>
      <c r="F87" s="139"/>
      <c r="G87" s="139"/>
      <c r="H87" s="139"/>
      <c r="I87" s="139"/>
      <c r="J87" s="139"/>
      <c r="K87" s="139"/>
      <c r="L87" s="140"/>
      <c r="M87" s="19"/>
      <c r="N87" s="19"/>
      <c r="O87" s="128" t="s">
        <v>31</v>
      </c>
      <c r="P87" s="128"/>
      <c r="Q87" s="94"/>
      <c r="S87" s="1" t="s">
        <v>67</v>
      </c>
    </row>
    <row r="88" spans="2:19" ht="18.75" customHeight="1" thickBot="1">
      <c r="C88" s="99" t="s">
        <v>198</v>
      </c>
      <c r="D88" s="100"/>
      <c r="E88" s="100"/>
      <c r="F88" s="100"/>
      <c r="G88" s="100"/>
      <c r="H88" s="100"/>
      <c r="I88" s="100"/>
      <c r="J88" s="100"/>
      <c r="K88" s="100"/>
      <c r="L88" s="101"/>
      <c r="M88" s="19"/>
      <c r="N88" s="21"/>
      <c r="O88" s="21"/>
      <c r="P88" s="22" t="s">
        <v>32</v>
      </c>
      <c r="Q88" s="95">
        <f>Q86*Q87</f>
        <v>0</v>
      </c>
    </row>
    <row r="89" spans="2:19" ht="18.75" customHeight="1" thickBot="1">
      <c r="C89" s="102"/>
      <c r="D89" s="103"/>
      <c r="E89" s="103"/>
      <c r="F89" s="103"/>
      <c r="G89" s="103"/>
      <c r="H89" s="103"/>
      <c r="I89" s="103"/>
      <c r="J89" s="103"/>
      <c r="K89" s="103"/>
      <c r="L89" s="104"/>
      <c r="M89" s="19"/>
      <c r="N89" s="19"/>
      <c r="O89" s="19"/>
      <c r="P89" s="23" t="s">
        <v>33</v>
      </c>
      <c r="Q89" s="94">
        <f>Q86-Q88</f>
        <v>58222.52</v>
      </c>
    </row>
    <row r="90" spans="2:19" ht="26.25" customHeight="1" thickBot="1">
      <c r="C90" s="24"/>
      <c r="D90" s="83"/>
      <c r="E90" s="25"/>
      <c r="F90" s="25"/>
      <c r="G90" s="25"/>
      <c r="H90" s="25"/>
      <c r="I90" s="25"/>
      <c r="J90" s="25"/>
      <c r="K90" s="25"/>
      <c r="L90" s="26"/>
      <c r="M90" s="19"/>
      <c r="N90" s="19"/>
      <c r="O90" s="19"/>
      <c r="P90" s="22" t="s">
        <v>34</v>
      </c>
      <c r="Q90" s="95">
        <f>Q89*0.16</f>
        <v>9315.6031999999996</v>
      </c>
    </row>
    <row r="91" spans="2:19" ht="23.25">
      <c r="C91" s="27" t="s">
        <v>35</v>
      </c>
      <c r="D91" s="84"/>
      <c r="E91" s="28"/>
      <c r="F91" s="118" t="s">
        <v>36</v>
      </c>
      <c r="G91" s="25"/>
      <c r="H91" s="2" t="s">
        <v>37</v>
      </c>
      <c r="I91" s="19"/>
      <c r="J91" s="25"/>
      <c r="K91" s="25"/>
      <c r="L91" s="25"/>
      <c r="M91" s="19"/>
      <c r="N91" s="19"/>
      <c r="O91" s="19"/>
      <c r="P91" s="23" t="s">
        <v>38</v>
      </c>
      <c r="Q91" s="92">
        <f>Q89+Q90</f>
        <v>67538.123200000002</v>
      </c>
    </row>
    <row r="92" spans="2:19" ht="18.75" thickBot="1">
      <c r="C92" s="29" t="s">
        <v>39</v>
      </c>
      <c r="D92" s="85">
        <f>D91*Q91</f>
        <v>0</v>
      </c>
      <c r="E92" s="28"/>
      <c r="F92" s="119"/>
      <c r="G92" s="30"/>
      <c r="H92" s="2" t="s">
        <v>40</v>
      </c>
      <c r="I92" s="19"/>
      <c r="J92" s="19"/>
      <c r="K92" s="19"/>
      <c r="L92" s="19"/>
      <c r="M92" s="19"/>
      <c r="N92" s="19"/>
      <c r="O92" s="19"/>
      <c r="P92" s="23"/>
      <c r="Q92" s="31"/>
    </row>
    <row r="93" spans="2:19" ht="18.75" thickBot="1">
      <c r="C93" s="19"/>
      <c r="D93" s="86"/>
      <c r="E93" s="19"/>
      <c r="F93" s="120"/>
      <c r="G93" s="19"/>
      <c r="H93" s="32" t="s">
        <v>41</v>
      </c>
      <c r="I93" s="19"/>
      <c r="J93" s="19"/>
      <c r="K93" s="19"/>
      <c r="L93" s="19"/>
      <c r="M93" s="19"/>
      <c r="N93" s="19"/>
      <c r="O93" s="19"/>
      <c r="P93" s="23"/>
      <c r="Q93" s="33"/>
    </row>
    <row r="94" spans="2:19" ht="18.75" customHeight="1" thickBot="1">
      <c r="C94" s="19"/>
      <c r="D94" s="86"/>
      <c r="E94" s="19"/>
      <c r="F94" s="19"/>
      <c r="G94" s="19"/>
      <c r="H94" s="19"/>
      <c r="I94" s="19"/>
      <c r="J94" s="19"/>
      <c r="K94" s="19"/>
      <c r="L94" s="19"/>
      <c r="M94" s="19"/>
      <c r="N94" s="34" t="s">
        <v>55</v>
      </c>
      <c r="O94" s="35"/>
      <c r="P94" s="35"/>
      <c r="Q94" s="36"/>
    </row>
    <row r="95" spans="2:19" ht="28.15" customHeight="1">
      <c r="C95" s="121" t="s">
        <v>43</v>
      </c>
      <c r="D95" s="122"/>
      <c r="E95" s="122"/>
      <c r="F95" s="122"/>
      <c r="G95" s="122"/>
      <c r="H95" s="122"/>
      <c r="I95" s="122"/>
      <c r="J95" s="122"/>
      <c r="K95" s="122"/>
      <c r="L95" s="123"/>
      <c r="M95" s="19"/>
      <c r="N95" s="37"/>
      <c r="O95" s="19"/>
      <c r="P95" s="19"/>
      <c r="Q95" s="38"/>
    </row>
    <row r="96" spans="2:19" ht="18.75" customHeight="1">
      <c r="C96" s="39" t="s">
        <v>44</v>
      </c>
      <c r="D96" s="87"/>
      <c r="E96" s="40" t="s">
        <v>45</v>
      </c>
      <c r="F96" s="105"/>
      <c r="G96" s="106"/>
      <c r="H96" s="124" t="s">
        <v>46</v>
      </c>
      <c r="I96" s="125"/>
      <c r="J96" s="125"/>
      <c r="K96" s="126"/>
      <c r="L96" s="127"/>
      <c r="M96" s="19"/>
      <c r="N96" s="37"/>
      <c r="O96" s="19"/>
      <c r="P96" s="19"/>
      <c r="Q96" s="38"/>
    </row>
    <row r="97" spans="3:17" ht="18.75" customHeight="1" thickBot="1">
      <c r="C97" s="39" t="s">
        <v>47</v>
      </c>
      <c r="D97" s="87"/>
      <c r="E97" s="40" t="s">
        <v>48</v>
      </c>
      <c r="F97" s="105"/>
      <c r="G97" s="106"/>
      <c r="H97" s="107" t="s">
        <v>49</v>
      </c>
      <c r="I97" s="108"/>
      <c r="J97" s="109"/>
      <c r="K97" s="113">
        <f>D96+D97+D98+F96+F97+F98+K96</f>
        <v>0</v>
      </c>
      <c r="L97" s="114"/>
      <c r="M97" s="19"/>
      <c r="N97" s="41" t="s">
        <v>50</v>
      </c>
      <c r="O97" s="21"/>
      <c r="P97" s="21"/>
      <c r="Q97" s="42">
        <f>O5</f>
        <v>46057</v>
      </c>
    </row>
    <row r="98" spans="3:17" ht="27" customHeight="1" thickBot="1">
      <c r="C98" s="43" t="s">
        <v>51</v>
      </c>
      <c r="D98" s="88"/>
      <c r="E98" s="44" t="s">
        <v>52</v>
      </c>
      <c r="F98" s="115"/>
      <c r="G98" s="117"/>
      <c r="H98" s="110"/>
      <c r="I98" s="111"/>
      <c r="J98" s="112"/>
      <c r="K98" s="115"/>
      <c r="L98" s="116"/>
      <c r="M98" s="19"/>
      <c r="N98" s="45" t="s">
        <v>53</v>
      </c>
      <c r="O98" s="46"/>
      <c r="P98" s="46"/>
      <c r="Q98" s="47" t="s">
        <v>54</v>
      </c>
    </row>
    <row r="99" spans="3:17" ht="18">
      <c r="C99" s="19"/>
      <c r="D99" s="86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</row>
    <row r="100" spans="3:17" ht="18.75" thickBot="1">
      <c r="M100" s="19"/>
      <c r="N100" s="19"/>
      <c r="O100" s="19"/>
      <c r="P100" s="23"/>
      <c r="Q100" s="33"/>
    </row>
    <row r="101" spans="3:17" ht="21" customHeight="1">
      <c r="M101" s="19"/>
      <c r="N101" s="48" t="s">
        <v>42</v>
      </c>
      <c r="O101" s="35"/>
      <c r="P101" s="35"/>
      <c r="Q101" s="36"/>
    </row>
    <row r="102" spans="3:17" ht="35.450000000000003" customHeight="1">
      <c r="M102" s="19"/>
      <c r="N102" s="37"/>
      <c r="O102" s="56"/>
      <c r="P102" s="50"/>
      <c r="Q102" s="38"/>
    </row>
    <row r="103" spans="3:17" ht="21" customHeight="1">
      <c r="M103" s="19"/>
      <c r="N103" s="49" t="s">
        <v>56</v>
      </c>
      <c r="O103" s="50"/>
      <c r="P103" s="57"/>
      <c r="Q103" s="38"/>
    </row>
    <row r="104" spans="3:17" ht="18">
      <c r="M104" s="19"/>
      <c r="N104" s="54" t="s">
        <v>57</v>
      </c>
      <c r="O104" s="53"/>
      <c r="P104" s="57"/>
      <c r="Q104" s="55">
        <f>O5</f>
        <v>46057</v>
      </c>
    </row>
    <row r="105" spans="3:17" ht="6" customHeight="1" thickBot="1">
      <c r="M105" s="19"/>
      <c r="N105" s="51"/>
      <c r="O105" s="52"/>
      <c r="P105" s="57"/>
      <c r="Q105" s="42"/>
    </row>
    <row r="106" spans="3:17" ht="22.15" customHeight="1" thickBot="1">
      <c r="M106" s="19"/>
      <c r="N106" s="45" t="s">
        <v>53</v>
      </c>
      <c r="O106" s="46"/>
      <c r="P106" s="46"/>
      <c r="Q106" s="47" t="s">
        <v>54</v>
      </c>
    </row>
    <row r="107" spans="3:17" ht="18">
      <c r="M107" s="19"/>
      <c r="N107" s="19"/>
      <c r="O107" s="19"/>
      <c r="P107" s="19"/>
      <c r="Q107" s="19"/>
    </row>
  </sheetData>
  <mergeCells count="106">
    <mergeCell ref="D9:K9"/>
    <mergeCell ref="D10:K10"/>
    <mergeCell ref="N9:Q9"/>
    <mergeCell ref="N10:Q10"/>
    <mergeCell ref="D6:F6"/>
    <mergeCell ref="D11:K11"/>
    <mergeCell ref="D12:K12"/>
    <mergeCell ref="D13:K13"/>
    <mergeCell ref="E20:M20"/>
    <mergeCell ref="N11:Q11"/>
    <mergeCell ref="N12:Q12"/>
    <mergeCell ref="N13:Q13"/>
    <mergeCell ref="M2:Q3"/>
    <mergeCell ref="D4:F4"/>
    <mergeCell ref="M4:N4"/>
    <mergeCell ref="O4:Q4"/>
    <mergeCell ref="M5:N5"/>
    <mergeCell ref="O5:Q5"/>
    <mergeCell ref="D2:F2"/>
    <mergeCell ref="M6:N6"/>
    <mergeCell ref="O6:Q6"/>
    <mergeCell ref="O87:P87"/>
    <mergeCell ref="E85:M85"/>
    <mergeCell ref="E86:M86"/>
    <mergeCell ref="O86:P86"/>
    <mergeCell ref="C15:C16"/>
    <mergeCell ref="D15:K16"/>
    <mergeCell ref="M15:M16"/>
    <mergeCell ref="C87:L87"/>
    <mergeCell ref="N15:Q16"/>
    <mergeCell ref="E18:M18"/>
    <mergeCell ref="E19:M19"/>
    <mergeCell ref="E21:M21"/>
    <mergeCell ref="E22:M22"/>
    <mergeCell ref="E23:M23"/>
    <mergeCell ref="E24:M24"/>
    <mergeCell ref="E25:M25"/>
    <mergeCell ref="C88:L89"/>
    <mergeCell ref="F97:G97"/>
    <mergeCell ref="H97:J98"/>
    <mergeCell ref="K97:L98"/>
    <mergeCell ref="F98:G98"/>
    <mergeCell ref="F91:F93"/>
    <mergeCell ref="C95:L95"/>
    <mergeCell ref="F96:G96"/>
    <mergeCell ref="H96:J96"/>
    <mergeCell ref="K96:L96"/>
    <mergeCell ref="E31:M31"/>
    <mergeCell ref="E32:M32"/>
    <mergeCell ref="E33:M33"/>
    <mergeCell ref="E34:M34"/>
    <mergeCell ref="E35:M35"/>
    <mergeCell ref="E26:M26"/>
    <mergeCell ref="E27:M27"/>
    <mergeCell ref="E28:M28"/>
    <mergeCell ref="E29:M29"/>
    <mergeCell ref="E30:M30"/>
    <mergeCell ref="E71:M71"/>
    <mergeCell ref="E52:M52"/>
    <mergeCell ref="E53:M53"/>
    <mergeCell ref="E54:M54"/>
    <mergeCell ref="E55:M55"/>
    <mergeCell ref="E56:M56"/>
    <mergeCell ref="E57:M57"/>
    <mergeCell ref="E58:M58"/>
    <mergeCell ref="E59:M59"/>
    <mergeCell ref="E60:M60"/>
    <mergeCell ref="E61:M61"/>
    <mergeCell ref="E62:M62"/>
    <mergeCell ref="E63:M63"/>
    <mergeCell ref="E64:M64"/>
    <mergeCell ref="E65:M65"/>
    <mergeCell ref="E66:M66"/>
    <mergeCell ref="E51:M51"/>
    <mergeCell ref="E72:M72"/>
    <mergeCell ref="E73:M73"/>
    <mergeCell ref="E74:M74"/>
    <mergeCell ref="E75:M75"/>
    <mergeCell ref="E36:M36"/>
    <mergeCell ref="E37:M37"/>
    <mergeCell ref="E38:M38"/>
    <mergeCell ref="E39:M39"/>
    <mergeCell ref="E40:M40"/>
    <mergeCell ref="E41:M41"/>
    <mergeCell ref="E42:M42"/>
    <mergeCell ref="E43:M43"/>
    <mergeCell ref="E44:M44"/>
    <mergeCell ref="E45:M45"/>
    <mergeCell ref="E46:M46"/>
    <mergeCell ref="E47:M47"/>
    <mergeCell ref="E48:M48"/>
    <mergeCell ref="E49:M49"/>
    <mergeCell ref="E50:M50"/>
    <mergeCell ref="E67:M67"/>
    <mergeCell ref="E68:M68"/>
    <mergeCell ref="E69:M69"/>
    <mergeCell ref="E70:M70"/>
    <mergeCell ref="E76:M76"/>
    <mergeCell ref="E77:M77"/>
    <mergeCell ref="E84:M84"/>
    <mergeCell ref="E78:M78"/>
    <mergeCell ref="E79:M79"/>
    <mergeCell ref="E80:M80"/>
    <mergeCell ref="E81:M81"/>
    <mergeCell ref="E82:M82"/>
    <mergeCell ref="E83:M83"/>
  </mergeCells>
  <hyperlinks>
    <hyperlink ref="D6" r:id="rId1" xr:uid="{7BEE8225-4344-49D7-921F-996FC489E255}"/>
    <hyperlink ref="N15" r:id="rId2" xr:uid="{65D2557A-6C66-41F6-B523-BCA4889E7AEF}"/>
    <hyperlink ref="N11" r:id="rId3" xr:uid="{EB18174D-6037-4423-9201-ED12395DD8AA}"/>
    <hyperlink ref="D12" r:id="rId4" xr:uid="{06C0AF8F-0823-47B8-9A13-25D41E67C0A6}"/>
  </hyperlinks>
  <printOptions horizontalCentered="1" verticalCentered="1"/>
  <pageMargins left="0" right="0.70866141732283472" top="0" bottom="0" header="0.31496062992125984" footer="0"/>
  <pageSetup scale="41" orientation="portrait" r:id="rId5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8" name="Check Box 1">
              <controlPr defaultSize="0" autoFill="0" autoLine="0" autoPict="0">
                <anchor moveWithCells="1">
                  <from>
                    <xdr:col>11</xdr:col>
                    <xdr:colOff>200025</xdr:colOff>
                    <xdr:row>90</xdr:row>
                    <xdr:rowOff>47625</xdr:rowOff>
                  </from>
                  <to>
                    <xdr:col>12</xdr:col>
                    <xdr:colOff>419100</xdr:colOff>
                    <xdr:row>90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9" name="Check Box 2">
              <controlPr defaultSize="0" autoFill="0" autoLine="0" autoPict="0">
                <anchor moveWithCells="1">
                  <from>
                    <xdr:col>11</xdr:col>
                    <xdr:colOff>200025</xdr:colOff>
                    <xdr:row>91</xdr:row>
                    <xdr:rowOff>38100</xdr:rowOff>
                  </from>
                  <to>
                    <xdr:col>12</xdr:col>
                    <xdr:colOff>571500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0" name="Check Box 3">
              <controlPr defaultSize="0" autoFill="0" autoLine="0" autoPict="0">
                <anchor moveWithCells="1">
                  <from>
                    <xdr:col>11</xdr:col>
                    <xdr:colOff>200025</xdr:colOff>
                    <xdr:row>92</xdr:row>
                    <xdr:rowOff>38100</xdr:rowOff>
                  </from>
                  <to>
                    <xdr:col>12</xdr:col>
                    <xdr:colOff>428625</xdr:colOff>
                    <xdr:row>93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1" name="Check Box 6">
              <controlPr defaultSize="0" autoFill="0" autoLine="0" autoPict="0">
                <anchor moveWithCells="1">
                  <from>
                    <xdr:col>15</xdr:col>
                    <xdr:colOff>590550</xdr:colOff>
                    <xdr:row>101</xdr:row>
                    <xdr:rowOff>438150</xdr:rowOff>
                  </from>
                  <to>
                    <xdr:col>16</xdr:col>
                    <xdr:colOff>371475</xdr:colOff>
                    <xdr:row>102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2" name="Check Box 7">
              <controlPr defaultSize="0" autoFill="0" autoLine="0" autoPict="0">
                <anchor moveWithCells="1">
                  <from>
                    <xdr:col>15</xdr:col>
                    <xdr:colOff>600075</xdr:colOff>
                    <xdr:row>103</xdr:row>
                    <xdr:rowOff>28575</xdr:rowOff>
                  </from>
                  <to>
                    <xdr:col>16</xdr:col>
                    <xdr:colOff>285750</xdr:colOff>
                    <xdr:row>104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R-176-OC-</vt:lpstr>
      <vt:lpstr>'R-176-OC-'!Área_de_impresión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2025-12-05T21:05:09Z</cp:lastPrinted>
  <dcterms:created xsi:type="dcterms:W3CDTF">2025-07-01T17:10:28Z</dcterms:created>
  <dcterms:modified xsi:type="dcterms:W3CDTF">2026-02-05T17:48:37Z</dcterms:modified>
</cp:coreProperties>
</file>